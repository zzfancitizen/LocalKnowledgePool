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d4aac7c4f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481859343b04e13"/>
    <x:sheet xmlns:r="http://schemas.openxmlformats.org/officeDocument/2006/relationships" name="开放问题" sheetId="2" r:id="Rc4eba34417a7431e"/>
    <x:sheet xmlns:r="http://schemas.openxmlformats.org/officeDocument/2006/relationships" name="施工进度" sheetId="3" r:id="R1eaaa2c743fb40d7"/>
    <x:sheet xmlns:r="http://schemas.openxmlformats.org/officeDocument/2006/relationships" name="现场问题" sheetId="4" r:id="Ra2fe81d13481493f"/>
    <x:sheet xmlns:r="http://schemas.openxmlformats.org/officeDocument/2006/relationships" name="变更增减项" sheetId="5" r:id="R3df38657a53b4282"/>
    <x:sheet xmlns:r="http://schemas.openxmlformats.org/officeDocument/2006/relationships" name="主材选型" sheetId="6" r:id="R0333420e26264a29"/>
    <x:sheet xmlns:r="http://schemas.openxmlformats.org/officeDocument/2006/relationships" name="付款验收" sheetId="7" r:id="Rf602b9229de24aa8"/>
    <x:sheet xmlns:r="http://schemas.openxmlformats.org/officeDocument/2006/relationships" name="联系人" sheetId="8" r:id="Rbda1ca98f557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#,##0.00"/>
  </x:numFmts>
  <x:fonts count="9">
    <x:font>
      <x:sz val="11"/>
      <x:name val="Carlito"/>
    </x:font>
    <x:font>
      <x:b/>
      <x:sz val="16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111827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b/>
      <x:sz val="16"/>
      <x:color rgb="FF111827"/>
      <x:name val="Arial"/>
    </x:font>
  </x:fonts>
  <x:fills count="2">
    <x:fill>
      <x:patternFill patternType="none"/>
    </x:fill>
    <x:fill>
      <x:patternFill patternType="gray125"/>
    </x:fill>
  </x:fills>
  <x:borders count="12">
    <x:border/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141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borderId="0" xfId="0" applyNumberFormat="1" applyFont="1" applyFill="0" applyBorder="1"/>
    <x:xf numFmtId="200" fontId="0" borderId="0" xfId="0" applyNumberFormat="1" applyFont="1" applyFill="0" applyBorder="1"/>
    <x:xf numFmtId="201" fontId="0" borderId="0" xfId="0" applyNumberFormat="1" applyFont="1" applyFill="0" applyBorder="1"/>
    <x:xf numFmtId="0" fontId="2" borderId="1" xfId="0" applyNumberFormat="1" applyFont="1" applyFill="0" applyBorder="1"/>
    <x:xf numFmtId="0" fontId="0" borderId="2" xfId="0" applyNumberFormat="1" applyFont="1" applyFill="0" applyBorder="1"/>
    <x:xf numFmtId="0" fontId="2" borderId="3" xfId="0" applyNumberFormat="1" applyFont="1" applyFill="0" applyBorder="1"/>
    <x:xf numFmtId="0" fontId="0" borderId="4" xfId="0" applyNumberFormat="1" applyFont="1" applyFill="0" applyBorder="1"/>
    <x:xf numFmtId="200" fontId="0" borderId="4" xfId="0" applyNumberFormat="1" applyFont="1" applyFill="0" applyBorder="1"/>
    <x:xf numFmtId="201" fontId="0" borderId="4" xfId="0" applyNumberFormat="1" applyFont="1" applyFill="0" applyBorder="1"/>
    <x:xf numFmtId="0" fontId="2" borderId="5" xfId="0" applyNumberFormat="1" applyFont="1" applyFill="0" applyBorder="1"/>
    <x:xf numFmtId="0" fontId="0" borderId="6" xfId="0" applyNumberFormat="1" applyFont="1" applyFill="0" applyBorder="1"/>
    <x:xf numFmtId="0" fontId="3" borderId="0" xfId="0" applyNumberFormat="1" applyFont="1" applyFill="0" applyBorder="1"/>
    <x:xf numFmtId="202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202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1" xfId="0" applyNumberFormat="1" applyFont="1" applyFill="1" applyBorder="1"/>
    <x:xf numFmtId="0" fontId="3" borderId="0" xfId="0" applyNumberFormat="1" applyFont="1" applyFill="0" applyBorder="1" applyAlignment="1">
      <x:alignment wrapText="1"/>
    </x:xf>
    <x:xf numFmtId="0" fontId="3" borderId="6" xfId="0" applyNumberFormat="1" applyFont="1" applyFill="0" applyBorder="1" applyAlignment="1">
      <x:alignment wrapText="1"/>
    </x:xf>
    <x:xf numFmtId="0" fontId="3" borderId="7" xfId="0" applyNumberFormat="1" applyFont="1" applyFill="0" applyBorder="1" applyAlignment="1">
      <x:alignment wrapText="1"/>
    </x:xf>
    <x:xf numFmtId="0" fontId="3" borderId="5" xfId="0" applyNumberFormat="1" applyFont="1" applyFill="0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4" borderId="0" xfId="0" applyNumberFormat="1" applyFont="1" applyFill="0" applyBorder="1" applyAlignment="1">
      <x:alignment vertical="center"/>
    </x:xf>
    <x:xf numFmtId="0" fontId="5" fillId="0" borderId="0" xfId="0" applyNumberFormat="1" applyFont="1" applyFill="1" applyBorder="1"/>
    <x:xf numFmtId="0" fontId="6" borderId="1" xfId="0" applyNumberFormat="1" applyFont="1" applyFill="0" applyBorder="1"/>
    <x:xf numFmtId="0" fontId="5" borderId="2" xfId="0" applyNumberFormat="1" applyFont="1" applyFill="0" applyBorder="1"/>
    <x:xf numFmtId="0" fontId="6" borderId="3" xfId="0" applyNumberFormat="1" applyFont="1" applyFill="0" applyBorder="1"/>
    <x:xf numFmtId="0" fontId="5" borderId="4" xfId="0" applyNumberFormat="1" applyFont="1" applyFill="0" applyBorder="1"/>
    <x:xf numFmtId="200" fontId="5" borderId="4" xfId="0" applyNumberFormat="1" applyFont="1" applyFill="0" applyBorder="1"/>
    <x:xf numFmtId="201" fontId="5" borderId="4" xfId="0" applyNumberFormat="1" applyFont="1" applyFill="0" applyBorder="1"/>
    <x:xf numFmtId="0" fontId="6" borderId="5" xfId="0" applyNumberFormat="1" applyFont="1" applyFill="0" applyBorder="1"/>
    <x:xf numFmtId="0" fontId="5" borderId="6" xfId="0" applyNumberFormat="1" applyFont="1" applyFill="0" applyBorder="1"/>
    <x:xf numFmtId="0" fontId="7" borderId="0" xfId="0" applyNumberFormat="1" applyFont="1" applyFill="0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202" fontId="5" fillId="0" borderId="7" xfId="0" applyNumberFormat="1" applyFont="1" applyFill="1" applyBorder="1"/>
    <x:xf numFmtId="0" fontId="5" fillId="0" borderId="5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202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/>
    <x:xf numFmtId="202" fontId="5" fillId="0" borderId="11" xfId="0" applyNumberFormat="1" applyFont="1" applyFill="1" applyBorder="1"/>
    <x:xf numFmtId="0" fontId="5" fillId="0" borderId="11" xfId="0" applyNumberFormat="1" applyFont="1" applyFill="1" applyBorder="1"/>
    <x:xf numFmtId="0" fontId="5" fillId="0" borderId="1" xfId="0" applyNumberFormat="1" applyFont="1" applyFill="1" applyBorder="1"/>
    <x:xf numFmtId="0" fontId="4" borderId="0" xfId="0" applyNumberFormat="1" applyFont="1" applyFill="0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borderId="1" xfId="0" applyNumberFormat="1" applyFont="1" applyFill="0" applyBorder="1" applyAlignment="1">
      <x:alignment vertical="top"/>
    </x:xf>
    <x:xf numFmtId="0" fontId="5" borderId="2" xfId="0" applyNumberFormat="1" applyFont="1" applyFill="0" applyBorder="1" applyAlignment="1">
      <x:alignment vertical="top"/>
    </x:xf>
    <x:xf numFmtId="0" fontId="6" borderId="3" xfId="0" applyNumberFormat="1" applyFont="1" applyFill="0" applyBorder="1" applyAlignment="1">
      <x:alignment vertical="top"/>
    </x:xf>
    <x:xf numFmtId="0" fontId="5" borderId="4" xfId="0" applyNumberFormat="1" applyFont="1" applyFill="0" applyBorder="1" applyAlignment="1">
      <x:alignment vertical="top"/>
    </x:xf>
    <x:xf numFmtId="200" fontId="5" borderId="4" xfId="0" applyNumberFormat="1" applyFont="1" applyFill="0" applyBorder="1" applyAlignment="1">
      <x:alignment vertical="top"/>
    </x:xf>
    <x:xf numFmtId="201" fontId="5" borderId="4" xfId="0" applyNumberFormat="1" applyFont="1" applyFill="0" applyBorder="1" applyAlignment="1">
      <x:alignment vertical="top"/>
    </x:xf>
    <x:xf numFmtId="0" fontId="6" borderId="5" xfId="0" applyNumberFormat="1" applyFont="1" applyFill="0" applyBorder="1" applyAlignment="1">
      <x:alignment vertical="top"/>
    </x:xf>
    <x:xf numFmtId="0" fontId="5" borderId="6" xfId="0" applyNumberFormat="1" applyFont="1" applyFill="0" applyBorder="1" applyAlignment="1">
      <x:alignment vertical="top"/>
    </x:xf>
    <x:xf numFmtId="0" fontId="7" borderId="0" xfId="0" applyNumberFormat="1" applyFont="1" applyFill="0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202" fontId="5" fillId="0" borderId="7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202" fontId="5" fillId="0" borderId="9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</x:xf>
    <x:xf numFmtId="202" fontId="5" fillId="0" borderId="11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4" borderId="0" xfId="0" applyNumberFormat="1" applyFont="1" applyFill="0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borderId="1" xfId="0" applyNumberFormat="1" applyFont="1" applyFill="0" applyBorder="1" applyAlignment="1">
      <x:alignment vertical="top" wrapText="1"/>
    </x:xf>
    <x:xf numFmtId="0" fontId="5" borderId="2" xfId="0" applyNumberFormat="1" applyFont="1" applyFill="0" applyBorder="1" applyAlignment="1">
      <x:alignment vertical="top" wrapText="1"/>
    </x:xf>
    <x:xf numFmtId="0" fontId="6" borderId="3" xfId="0" applyNumberFormat="1" applyFont="1" applyFill="0" applyBorder="1" applyAlignment="1">
      <x:alignment vertical="top" wrapText="1"/>
    </x:xf>
    <x:xf numFmtId="0" fontId="5" borderId="4" xfId="0" applyNumberFormat="1" applyFont="1" applyFill="0" applyBorder="1" applyAlignment="1">
      <x:alignment vertical="top" wrapText="1"/>
    </x:xf>
    <x:xf numFmtId="200" fontId="5" borderId="4" xfId="0" applyNumberFormat="1" applyFont="1" applyFill="0" applyBorder="1" applyAlignment="1">
      <x:alignment vertical="top" wrapText="1"/>
    </x:xf>
    <x:xf numFmtId="201" fontId="5" borderId="4" xfId="0" applyNumberFormat="1" applyFont="1" applyFill="0" applyBorder="1" applyAlignment="1">
      <x:alignment vertical="top" wrapText="1"/>
    </x:xf>
    <x:xf numFmtId="0" fontId="6" borderId="5" xfId="0" applyNumberFormat="1" applyFont="1" applyFill="0" applyBorder="1" applyAlignment="1">
      <x:alignment vertical="top" wrapText="1"/>
    </x:xf>
    <x:xf numFmtId="0" fontId="5" borderId="6" xfId="0" applyNumberFormat="1" applyFont="1" applyFill="0" applyBorder="1" applyAlignment="1">
      <x:alignment vertical="top" wrapText="1"/>
    </x:xf>
    <x:xf numFmtId="0" fontId="7" borderId="0" xfId="0" applyNumberFormat="1" applyFont="1" applyFill="0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202" fontId="5" fillId="0" borderId="7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202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202" fontId="5" fillId="0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7" borderId="6" xfId="0" applyNumberFormat="1" applyFont="1" applyFill="0" applyBorder="1" applyAlignment="1">
      <x:alignment wrapText="1"/>
    </x:xf>
    <x:xf numFmtId="0" fontId="7" borderId="7" xfId="0" applyNumberFormat="1" applyFont="1" applyFill="0" applyBorder="1" applyAlignment="1">
      <x:alignment wrapText="1"/>
    </x:xf>
    <x:xf numFmtId="0" fontId="7" borderId="5" xfId="0" applyNumberFormat="1" applyFont="1" applyFill="0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202" fontId="5" fillId="0" borderId="9" xfId="0" applyNumberFormat="1" applyFont="1" applyFill="1" applyBorder="1" applyAlignment="1">
      <x:alignment wrapText="1"/>
    </x:xf>
    <x:xf numFmtId="201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202" fontId="5" fillId="0" borderId="11" xfId="0" applyNumberFormat="1" applyFont="1" applyFill="1" applyBorder="1" applyAlignment="1">
      <x:alignment wrapText="1"/>
    </x:xf>
    <x:xf numFmtId="201" fontId="5" fillId="0" borderId="1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2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7" borderId="6" xfId="0" applyNumberFormat="1" applyFont="1" applyFill="0" applyBorder="1" applyAlignment="1">
      <x:alignment vertical="top" wrapText="1"/>
    </x:xf>
    <x:xf numFmtId="0" fontId="7" borderId="7" xfId="0" applyNumberFormat="1" applyFont="1" applyFill="0" applyBorder="1" applyAlignment="1">
      <x:alignment vertical="top" wrapText="1"/>
    </x:xf>
    <x:xf numFmtId="0" fontId="7" borderId="5" xfId="0" applyNumberFormat="1" applyFont="1" applyFill="0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201" fontId="5" fillId="0" borderId="1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202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0" fontId="8" borderId="0" xfId="0" applyNumberFormat="1" applyFont="1" applyFill="0" applyBorder="1" applyAlignment="1">
      <x:alignment vertical="top" wrapText="1"/>
    </x:xf>
    <x:xf numFmtId="0" fontId="8" borderId="0" xfId="0" applyNumberFormat="1" applyFont="1" applyFill="0" applyBorder="1" applyAlignment="1">
      <x:alignment vertical="top" wrapText="0"/>
    </x:xf>
  </x:cellXfs>
  <x:cellStyles count="1">
    <x:cellStyle name="Normal" xfId="0"/>
  </x:cellStyles>
  <x:dxfs count="28">
    <x:dxf/>
    <x:dxf/>
    <x:dxf/>
    <x:dxf/>
    <x:dxf/>
    <x:dxf>
      <x:font>
        <x:b/>
      </x:font>
    </x:dxf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8b2e420b14e91" /><Relationship Type="http://schemas.openxmlformats.org/officeDocument/2006/relationships/theme" Target="/xl/theme/theme1.xml" Id="Ra37988e64bca4d03" /><Relationship Type="http://schemas.openxmlformats.org/officeDocument/2006/relationships/sharedStrings" Target="/xl/sharedStrings.xml" Id="Ra78a607e494345be" /><Relationship Type="http://schemas.openxmlformats.org/officeDocument/2006/relationships/worksheet" Target="/xl/worksheets/sheet1.xml" Id="R7481859343b04e13" /><Relationship Type="http://schemas.openxmlformats.org/officeDocument/2006/relationships/worksheet" Target="/xl/worksheets/sheet2.xml" Id="Rc4eba34417a7431e" /><Relationship Type="http://schemas.openxmlformats.org/officeDocument/2006/relationships/worksheet" Target="/xl/worksheets/sheet3.xml" Id="R1eaaa2c743fb40d7" /><Relationship Type="http://schemas.openxmlformats.org/officeDocument/2006/relationships/worksheet" Target="/xl/worksheets/sheet4.xml" Id="Ra2fe81d13481493f" /><Relationship Type="http://schemas.openxmlformats.org/officeDocument/2006/relationships/worksheet" Target="/xl/worksheets/sheet5.xml" Id="R3df38657a53b4282" /><Relationship Type="http://schemas.openxmlformats.org/officeDocument/2006/relationships/worksheet" Target="/xl/worksheets/sheet6.xml" Id="R0333420e26264a29" /><Relationship Type="http://schemas.openxmlformats.org/officeDocument/2006/relationships/worksheet" Target="/xl/worksheets/sheet7.xml" Id="Rf602b9229de24aa8" /><Relationship Type="http://schemas.openxmlformats.org/officeDocument/2006/relationships/worksheet" Target="/xl/worksheets/sheet8.xml" Id="Rbda1ca98f5574695" /></Relationships>
</file>

<file path=xl/tables/table1.xml><?xml version="1.0" encoding="utf-8"?>
<x:table xmlns:x="http://schemas.openxmlformats.org/spreadsheetml/2006/main" id="1" name="OpenIssues" displayName="OpenIssues" ref="A1:L13" headerRowCount="1">
  <x:autoFilter ref="A1:L13"/>
  <x:tableColumns count="12">
    <x:tableColumn id="1" name="ID"/>
    <x:tableColumn id="2" name="类别"/>
    <x:tableColumn id="3" name="预算位置"/>
    <x:tableColumn id="4" name="问题描述"/>
    <x:tableColumn id="5" name="装修公司回复"/>
    <x:tableColumn id="6" name="状态"/>
    <x:tableColumn id="7" name="优先级"/>
    <x:tableColumn id="8" name="责任人"/>
    <x:tableColumn id="9" name="下一步/要求"/>
    <x:tableColumn id="10" name="关联金额"/>
    <x:tableColumn id="11" name="最后更新"/>
    <x:tableColumn id="12" name="关闭说明"/>
  </x:tableColumns>
  <x:tableStyleInfo name="TableStyleMedium2" showRowStripes="1"/>
</x:table>
</file>

<file path=xl/tables/table2.xml><?xml version="1.0" encoding="utf-8"?>
<x:table xmlns:x="http://schemas.openxmlformats.org/spreadsheetml/2006/main" id="2" name="Progress" displayName="Progress" ref="A1:K11" headerRowCount="1">
  <x:autoFilter ref="A1:K11"/>
  <x:tableColumns count="11">
    <x:tableColumn id="1" name="ID"/>
    <x:tableColumn id="2" name="阶段"/>
    <x:tableColumn id="3" name="任务/范围"/>
    <x:tableColumn id="4" name="状态"/>
    <x:tableColumn id="5" name="负责人"/>
    <x:tableColumn id="6" name="计划开始"/>
    <x:tableColumn id="7" name="计划结束"/>
    <x:tableColumn id="8" name="实际开始"/>
    <x:tableColumn id="9" name="实际结束"/>
    <x:tableColumn id="10" name="验收/完成标准"/>
    <x:tableColumn id="11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iteIssues" displayName="SiteIssues" ref="A1:K3" headerRowCount="1">
  <x:autoFilter ref="A1:K3"/>
  <x:tableColumns count="11">
    <x:tableColumn id="1" name="ID"/>
    <x:tableColumn id="2" name="发现日期"/>
    <x:tableColumn id="3" name="阶段"/>
    <x:tableColumn id="4" name="位置"/>
    <x:tableColumn id="5" name="问题描述"/>
    <x:tableColumn id="6" name="状态"/>
    <x:tableColumn id="7" name="责任人"/>
    <x:tableColumn id="8" name="截止日期"/>
    <x:tableColumn id="9" name="处理要求/验收标准"/>
    <x:tableColumn id="10" name="照片/证据链接"/>
    <x:tableColumn id="11" name="关闭记录"/>
  </x:tableColumns>
  <x:tableStyleInfo name="TableStyleMedium2" showRowStripes="1"/>
</x:table>
</file>

<file path=xl/tables/table4.xml><?xml version="1.0" encoding="utf-8"?>
<x:table xmlns:x="http://schemas.openxmlformats.org/spreadsheetml/2006/main" id="4" name="ChangeOrders" displayName="ChangeOrders" ref="A1:L3" headerRowCount="1">
  <x:autoFilter ref="A1:L3"/>
  <x:tableColumns count="12">
    <x:tableColumn id="1" name="ID"/>
    <x:tableColumn id="2" name="提出日期"/>
    <x:tableColumn id="3" name="阶段"/>
    <x:tableColumn id="4" name="变更事项"/>
    <x:tableColumn id="5" name="原因"/>
    <x:tableColumn id="6" name="报价金额"/>
    <x:tableColumn id="7" name="最终金额"/>
    <x:tableColumn id="8" name="报价状态"/>
    <x:tableColumn id="9" name="签字状态"/>
    <x:tableColumn id="10" name="结算状态"/>
    <x:tableColumn id="11" name="备注"/>
    <x:tableColumn id="12" name="证据链接"/>
  </x:tableColumns>
  <x:tableStyleInfo name="TableStyleMedium2" showRowStripes="1"/>
</x:table>
</file>

<file path=xl/tables/table5.xml><?xml version="1.0" encoding="utf-8"?>
<x:table xmlns:x="http://schemas.openxmlformats.org/spreadsheetml/2006/main" id="5" name="Materials" displayName="Materials" ref="A1:K8" headerRowCount="1">
  <x:autoFilter ref="A1:K8"/>
  <x:tableColumns count="11">
    <x:tableColumn id="1" name="ID"/>
    <x:tableColumn id="2" name="类别"/>
    <x:tableColumn id="3" name="项目"/>
    <x:tableColumn id="4" name="预算内品牌/型号"/>
    <x:tableColumn id="5" name="最终选择"/>
    <x:tableColumn id="6" name="预算价/口径"/>
    <x:tableColumn id="7" name="最终价"/>
    <x:tableColumn id="8" name="补差金额"/>
    <x:tableColumn id="9" name="状态"/>
    <x:tableColumn id="10" name="待确认事项"/>
    <x:tableColumn id="11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Payments" displayName="Payments" ref="A1:H4" headerRowCount="1">
  <x:autoFilter ref="A1:H4"/>
  <x:tableColumns count="8">
    <x:tableColumn id="1" name="ID"/>
    <x:tableColumn id="2" name="事项"/>
    <x:tableColumn id="3" name="依据"/>
    <x:tableColumn id="4" name="预算/应付金额"/>
    <x:tableColumn id="5" name="实际支付日期"/>
    <x:tableColumn id="6" name="状态"/>
    <x:tableColumn id="7" name="说明"/>
    <x:tableColumn id="8" name="凭证链接"/>
  </x:tableColumns>
  <x:tableStyleInfo name="TableStyleMedium2" showRowStripes="1"/>
</x:table>
</file>

<file path=xl/tables/table7.xml><?xml version="1.0" encoding="utf-8"?>
<x:table xmlns:x="http://schemas.openxmlformats.org/spreadsheetml/2006/main" id="7" name="Contacts" displayName="Contacts" ref="A1:F6" headerRowCount="1">
  <x:autoFilter ref="A1:F6"/>
  <x:tableColumns count="6">
    <x:tableColumn id="1" name="角色"/>
    <x:tableColumn id="2" name="姓名"/>
    <x:tableColumn id="3" name="电话/微信"/>
    <x:tableColumn id="4" name="公司"/>
    <x:tableColumn id="5" name="职责"/>
    <x:tableColumn id="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e0a5a6724445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144e95d80f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fab87f2ca24b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9986bcdd4b41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463e0036b64c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d50b5ad35e4b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03df528da74a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329999923706055" hidden="0" customWidth="1"/>
    <x:col min="3" max="3" width="28.889999389648438" hidden="0" customWidth="1"/>
    <x:col min="4" max="4" width="2.6700000762939453" hidden="0" customWidth="1"/>
    <x:col min="5" max="5" width="12.220000267028809" hidden="0" customWidth="1"/>
    <x:col min="6" max="6" width="8.890000343322754" hidden="0" customWidth="1"/>
    <x:col min="7" max="7" width="11.109999656677246" hidden="0" customWidth="1"/>
    <x:col min="8" max="8" width="17.780000686645508" hidden="0" customWidth="1"/>
  </x:cols>
  <x:sheetData>
    <x:row r="1" ht="24" customHeight="1">
      <x:c r="A1" s="140" t="str">
        <x:v>装修问题与进度追踪</x:v>
      </x:c>
      <x:c r="B1" s="140" t="str"/>
      <x:c r="C1" s="140" t="str"/>
      <x:c r="D1" s="140" t="str"/>
      <x:c r="E1" s="140" t="str"/>
      <x:c r="F1" s="140" t="str"/>
      <x:c r="G1" s="140" t="str"/>
      <x:c r="H1" s="140" t="str"/>
    </x:row>
    <x:row r="2">
      <x:c r="A2" s="93"/>
      <x:c r="B2" s="93"/>
      <x:c r="C2" s="93"/>
      <x:c r="D2" s="93"/>
      <x:c r="E2" s="93"/>
      <x:c r="F2" s="93"/>
      <x:c r="G2" s="93"/>
      <x:c r="H2" s="93"/>
    </x:row>
    <x:row r="3">
      <x:c r="A3" s="94" t="str">
        <x:v>项目</x:v>
      </x:c>
      <x:c r="B3" s="95" t="str">
        <x:v>普陀区富平路889弄26号1301</x:v>
      </x:c>
      <x:c r="C3" s="93"/>
      <x:c r="D3" s="93"/>
      <x:c r="E3" s="93"/>
      <x:c r="F3" s="93"/>
      <x:c r="G3" s="93"/>
      <x:c r="H3" s="93"/>
    </x:row>
    <x:row r="4">
      <x:c r="A4" s="96" t="str">
        <x:v>预算附件</x:v>
      </x:c>
      <x:c r="B4" s="97" t="str">
        <x:v>第八分公司-张之凡-预算合同.pdf</x:v>
      </x:c>
      <x:c r="C4" s="93"/>
      <x:c r="D4" s="93"/>
      <x:c r="E4" s="93"/>
      <x:c r="F4" s="93"/>
      <x:c r="G4" s="93"/>
      <x:c r="H4" s="93"/>
    </x:row>
    <x:row r="5">
      <x:c r="A5" s="96" t="str">
        <x:v>预算总价</x:v>
      </x:c>
      <x:c r="B5" s="98" t="n">
        <x:v>213457</x:v>
      </x:c>
      <x:c r="C5" s="93"/>
      <x:c r="D5" s="93"/>
      <x:c r="E5" s="93"/>
      <x:c r="F5" s="93"/>
      <x:c r="G5" s="93"/>
      <x:c r="H5" s="93"/>
    </x:row>
    <x:row r="6">
      <x:c r="A6" s="96" t="str">
        <x:v>当前重点</x:v>
      </x:c>
      <x:c r="B6" s="97" t="str">
        <x:v>预算开放问题、主材锁价、水电/防水边界</x:v>
      </x:c>
      <x:c r="C6" s="93"/>
      <x:c r="D6" s="93"/>
      <x:c r="E6" s="93"/>
      <x:c r="F6" s="93"/>
      <x:c r="G6" s="93"/>
      <x:c r="H6" s="93"/>
    </x:row>
    <x:row r="7">
      <x:c r="A7" s="96" t="str">
        <x:v>更新日期</x:v>
      </x:c>
      <x:c r="B7" s="99" t="n">
        <x:v>46203</x:v>
      </x:c>
      <x:c r="C7" s="93"/>
      <x:c r="D7" s="93"/>
      <x:c r="E7" s="93"/>
      <x:c r="F7" s="93"/>
      <x:c r="G7" s="93"/>
      <x:c r="H7" s="93"/>
    </x:row>
    <x:row r="8">
      <x:c r="A8" s="96" t="str">
        <x:v>使用说明</x:v>
      </x:c>
      <x:c r="B8" s="97" t="str">
        <x:v>先关闭开放问题，再按施工进度持续记录现场问题、变更和付款验收。</x:v>
      </x:c>
      <x:c r="C8" s="93"/>
      <x:c r="D8" s="93"/>
      <x:c r="E8" s="93"/>
      <x:c r="F8" s="93"/>
      <x:c r="G8" s="93"/>
      <x:c r="H8" s="93"/>
    </x:row>
    <x:row r="9">
      <x:c r="A9" s="100" t="str">
        <x:v>关键原则</x:v>
      </x:c>
      <x:c r="B9" s="101" t="str">
        <x:v>所有增项先报价、先书面确认、再施工。</x:v>
      </x:c>
      <x:c r="C9" s="93"/>
      <x:c r="D9" s="93"/>
      <x:c r="E9" s="93"/>
      <x:c r="F9" s="93"/>
      <x:c r="G9" s="93"/>
      <x:c r="H9" s="93"/>
    </x:row>
    <x:row r="10">
      <x:c r="A10" s="93"/>
      <x:c r="B10" s="93"/>
      <x:c r="C10" s="93"/>
      <x:c r="D10" s="93"/>
      <x:c r="E10" s="93"/>
      <x:c r="F10" s="93"/>
      <x:c r="G10" s="93"/>
      <x:c r="H10" s="93"/>
    </x:row>
    <x:row r="11">
      <x:c r="A11" s="102" t="str">
        <x:v>指标</x:v>
      </x:c>
      <x:c r="B11" s="102" t="str">
        <x:v>数量/金额</x:v>
      </x:c>
      <x:c r="C11" s="102" t="str">
        <x:v>说明</x:v>
      </x:c>
      <x:c r="D11" s="102" t="str"/>
      <x:c r="E11" s="102" t="str">
        <x:v>状态</x:v>
      </x:c>
      <x:c r="F11" s="102" t="str">
        <x:v>数量</x:v>
      </x:c>
      <x:c r="G11" s="102" t="str">
        <x:v>金额</x:v>
      </x:c>
      <x:c r="H11" s="102" t="str">
        <x:v>备注</x:v>
      </x:c>
    </x:row>
    <x:row r="12">
      <x:c r="A12" s="103" t="str">
        <x:v>开放问题总数</x:v>
      </x:c>
      <x:c r="B12" s="104" t="n">
        <x:f>COUNTA('开放问题'!$A$2:$A$200)</x:f>
        <x:v>12</x:v>
      </x:c>
      <x:c r="C12" s="104" t="str">
        <x:v>开放问题表总行数</x:v>
      </x:c>
      <x:c r="D12" s="104" t="str"/>
      <x:c r="E12" s="104" t="str">
        <x:v>待追问</x:v>
      </x:c>
      <x:c r="F12" s="104" t="n">
        <x:f>COUNTIF('开放问题'!$F$2:$F$200,E12)</x:f>
        <x:v>7</x:v>
      </x:c>
      <x:c r="G12" s="105" t="n">
        <x:f>SUMIF('开放问题'!$F$2:$F$200,E12,'开放问题'!$J$2:$J$200)</x:f>
        <x:v>103482.68</x:v>
      </x:c>
      <x:c r="H12" s="106" t="str"/>
    </x:row>
    <x:row r="13">
      <x:c r="A13" s="107" t="str">
        <x:v>高优先级问题</x:v>
      </x:c>
      <x:c r="B13" s="108" t="n">
        <x:f>COUNTIF('开放问题'!$G$2:$G$200,"高")</x:f>
        <x:v>6</x:v>
      </x:c>
      <x:c r="C13" s="108" t="str">
        <x:v>优先级为高的问题</x:v>
      </x:c>
      <x:c r="D13" s="108" t="str"/>
      <x:c r="E13" s="108" t="str">
        <x:v>待确认</x:v>
      </x:c>
      <x:c r="F13" s="108" t="n">
        <x:f>COUNTIF('开放问题'!$F$2:$F$200,E13)</x:f>
        <x:v>5</x:v>
      </x:c>
      <x:c r="G13" s="109" t="n">
        <x:f>SUMIF('开放问题'!$F$2:$F$200,E13,'开放问题'!$J$2:$J$200)</x:f>
        <x:v>5411.12</x:v>
      </x:c>
      <x:c r="H13" s="110" t="str"/>
    </x:row>
    <x:row r="14">
      <x:c r="A14" s="107" t="str">
        <x:v>已关闭问题</x:v>
      </x:c>
      <x:c r="B14" s="108" t="n">
        <x:f>COUNTIF('开放问题'!$F$2:$F$200,"已关闭")</x:f>
        <x:v>0</x:v>
      </x:c>
      <x:c r="C14" s="108" t="str">
        <x:v>状态为已关闭</x:v>
      </x:c>
      <x:c r="D14" s="108" t="str"/>
      <x:c r="E14" s="108" t="str">
        <x:v>有争议</x:v>
      </x:c>
      <x:c r="F14" s="108" t="n">
        <x:f>COUNTIF('开放问题'!$F$2:$F$200,E14)</x:f>
        <x:v>0</x:v>
      </x:c>
      <x:c r="G14" s="109" t="n">
        <x:f>SUMIF('开放问题'!$F$2:$F$200,E14,'开放问题'!$J$2:$J$200)</x:f>
        <x:v>0</x:v>
      </x:c>
      <x:c r="H14" s="110" t="str"/>
    </x:row>
    <x:row r="15">
      <x:c r="A15" s="107" t="str">
        <x:v>待追问问题</x:v>
      </x:c>
      <x:c r="B15" s="108" t="n">
        <x:f>COUNTIF('开放问题'!$F$2:$F$200,"待追问")</x:f>
        <x:v>7</x:v>
      </x:c>
      <x:c r="C15" s="108" t="str">
        <x:v>状态为待追问</x:v>
      </x:c>
      <x:c r="D15" s="108" t="str"/>
      <x:c r="E15" s="108" t="str">
        <x:v>已关闭</x:v>
      </x:c>
      <x:c r="F15" s="108" t="n">
        <x:f>COUNTIF('开放问题'!$F$2:$F$200,E15)</x:f>
        <x:v>0</x:v>
      </x:c>
      <x:c r="G15" s="109" t="n">
        <x:f>SUMIF('开放问题'!$F$2:$F$200,E15,'开放问题'!$J$2:$J$200)</x:f>
        <x:v>0</x:v>
      </x:c>
      <x:c r="H15" s="110" t="str"/>
    </x:row>
    <x:row r="16">
      <x:c r="A16" s="107" t="str">
        <x:v>当前关联金额</x:v>
      </x:c>
      <x:c r="B16" s="109" t="n">
        <x:f>SUM('开放问题'!$J$2:$J$200)</x:f>
        <x:v>108893.8</x:v>
      </x:c>
      <x:c r="C16" s="108" t="str">
        <x:v>开放问题中关联金额合计</x:v>
      </x:c>
      <x:c r="D16" s="108" t="str"/>
      <x:c r="E16" s="108" t="str">
        <x:v>施工中</x:v>
      </x:c>
      <x:c r="F16" s="108" t="n">
        <x:f>COUNTIF('施工进度'!$D$2:$D$200,E16)</x:f>
        <x:v>0</x:v>
      </x:c>
      <x:c r="G16" s="109" t="n">
        <x:f>0</x:f>
        <x:v>0</x:v>
      </x:c>
      <x:c r="H16" s="110" t="str"/>
    </x:row>
    <x:row r="17">
      <x:c r="A17" s="111" t="str">
        <x:v>主材占位金额</x:v>
      </x:c>
      <x:c r="B17" s="112" t="n">
        <x:v>56581.2</x:v>
      </x:c>
      <x:c r="C17" s="113" t="str">
        <x:v>来自主材清单合计</x:v>
      </x:c>
      <x:c r="D17" s="113" t="str"/>
      <x:c r="E17" s="113" t="str">
        <x:v>未开始</x:v>
      </x:c>
      <x:c r="F17" s="113" t="n">
        <x:f>COUNTIF('施工进度'!$D$2:$D$200,E17)</x:f>
        <x:v>10</x:v>
      </x:c>
      <x:c r="G17" s="112" t="n">
        <x:f>0</x:f>
        <x:v>0</x:v>
      </x:c>
      <x:c r="H17" s="1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1.109999656677246" hidden="0" customWidth="1"/>
    <x:col min="3" max="3" width="18.889999389648438" hidden="0" customWidth="1"/>
    <x:col min="4" max="4" width="31.110000610351562" hidden="0" customWidth="1"/>
    <x:col min="5" max="5" width="33.33000183105469" hidden="0" customWidth="1"/>
    <x:col min="6" max="6" width="10" hidden="0" customWidth="1"/>
    <x:col min="7" max="7" width="7.78000020980835" hidden="0" customWidth="1"/>
    <x:col min="8" max="8" width="11.109999656677246" hidden="0" customWidth="1"/>
    <x:col min="9" max="9" width="36.66999816894531" hidden="0" customWidth="1"/>
    <x:col min="10" max="10" width="10" hidden="0" customWidth="1"/>
    <x:col min="11" max="11" width="10" hidden="0" customWidth="1"/>
    <x:col min="12" max="12" width="24.440000534057617" hidden="0" customWidth="1"/>
  </x:cols>
  <x:sheetData>
    <x:row r="1">
      <x:c r="A1" s="130" t="str">
        <x:v>ID</x:v>
      </x:c>
      <x:c r="B1" s="131" t="str">
        <x:v>类别</x:v>
      </x:c>
      <x:c r="C1" s="131" t="str">
        <x:v>预算位置</x:v>
      </x:c>
      <x:c r="D1" s="131" t="str">
        <x:v>问题描述</x:v>
      </x:c>
      <x:c r="E1" s="131" t="str">
        <x:v>装修公司回复</x:v>
      </x:c>
      <x:c r="F1" s="131" t="str">
        <x:v>状态</x:v>
      </x:c>
      <x:c r="G1" s="131" t="str">
        <x:v>优先级</x:v>
      </x:c>
      <x:c r="H1" s="131" t="str">
        <x:v>责任人</x:v>
      </x:c>
      <x:c r="I1" s="131" t="str">
        <x:v>下一步/要求</x:v>
      </x:c>
      <x:c r="J1" s="131" t="str">
        <x:v>关联金额</x:v>
      </x:c>
      <x:c r="K1" s="131" t="str">
        <x:v>最后更新</x:v>
      </x:c>
      <x:c r="L1" s="132" t="str">
        <x:v>关闭说明</x:v>
      </x:c>
    </x:row>
    <x:row r="2">
      <x:c r="A2" s="107" t="str">
        <x:v>OI-001</x:v>
      </x:c>
      <x:c r="B2" s="108" t="str">
        <x:v>空调配合</x:v>
      </x:c>
      <x:c r="C2" s="108" t="str">
        <x:v>汇总表第7项；水电第8页第16-17项</x:v>
      </x:c>
      <x:c r="D2" s="108" t="str">
        <x:v>中央空调配套施工费688元仅写协调衔接，边界不清。</x:v>
      </x:c>
      <x:c r="E2" s="108" t="str">
        <x:v>包含协调；空调面板、安装及控制板安装由空调厂家负责，其余排线由装修公司负责。</x:v>
      </x:c>
      <x:c r="F2" s="108" t="str">
        <x:v>待追问</x:v>
      </x:c>
      <x:c r="G2" s="108" t="str">
        <x:v>高</x:v>
      </x:c>
      <x:c r="H2" s="108" t="str">
        <x:v>装修公司</x:v>
      </x:c>
      <x:c r="I2" s="108" t="str">
        <x:v>明确排线是否含线材、线管、开槽、修粉、穿线、接线；是否不按米数另收费；厂家要求增加线路时谁承担。</x:v>
      </x:c>
      <x:c r="J2" s="109" t="n">
        <x:v>688</x:v>
      </x:c>
      <x:c r="K2" s="133" t="str">
        <x:v>2026-06-30</x:v>
      </x:c>
      <x:c r="L2" s="110" t="str"/>
    </x:row>
    <x:row r="3">
      <x:c r="A3" s="107" t="str">
        <x:v>OI-002</x:v>
      </x:c>
      <x:c r="B3" s="108" t="str">
        <x:v>水电回路</x:v>
      </x:c>
      <x:c r="C3" s="108" t="str">
        <x:v>水电第8页第18项</x:v>
      </x:c>
      <x:c r="D3" s="108" t="str">
        <x:v>大功率线路按4回路计价，但回复只提洗碗机、书房电源、烘干机3项。</x:v>
      </x:c>
      <x:c r="E3" s="108" t="str">
        <x:v>洗碗机、书房电源、烘干机按回路收费，不论米数长短，没有和前面插座重复。</x:v>
      </x:c>
      <x:c r="F3" s="108" t="str">
        <x:v>待追问</x:v>
      </x:c>
      <x:c r="G3" s="108" t="str">
        <x:v>高</x:v>
      </x:c>
      <x:c r="H3" s="108" t="str">
        <x:v>装修公司</x:v>
      </x:c>
      <x:c r="I3" s="108" t="str">
        <x:v>列明4个回路分别对应设备/位置；确认线材、线管、开槽、修粉、接线全含且不重复收费。</x:v>
      </x:c>
      <x:c r="J3" s="109" t="n">
        <x:v>2192</x:v>
      </x:c>
      <x:c r="K3" s="133" t="str">
        <x:v>2026-06-30</x:v>
      </x:c>
      <x:c r="L3" s="110" t="str"/>
    </x:row>
    <x:row r="4">
      <x:c r="A4" s="107" t="str">
        <x:v>OI-003</x:v>
      </x:c>
      <x:c r="B4" s="108" t="str">
        <x:v>厨房防水</x:v>
      </x:c>
      <x:c r="C4" s="108" t="str">
        <x:v>厨房区域未见防水项</x:v>
      </x:c>
      <x:c r="D4" s="108" t="str">
        <x:v>厨房预算未列防水。</x:v>
      </x:c>
      <x:c r="E4" s="108" t="str">
        <x:v>厨房无需做防水。</x:v>
      </x:c>
      <x:c r="F4" s="108" t="str">
        <x:v>待确认</x:v>
      </x:c>
      <x:c r="G4" s="108" t="str">
        <x:v>高</x:v>
      </x:c>
      <x:c r="H4" s="108" t="str">
        <x:v>装修公司</x:v>
      </x:c>
      <x:c r="I4" s="108" t="str">
        <x:v>确认不做防水是公司标准且后续不再增项；写明水槽、下水、管根渗漏责任边界。</x:v>
      </x:c>
      <x:c r="J4" s="109" t="n">
        <x:v>0</x:v>
      </x:c>
      <x:c r="K4" s="133" t="str">
        <x:v>2026-06-30</x:v>
      </x:c>
      <x:c r="L4" s="110" t="str"/>
    </x:row>
    <x:row r="5">
      <x:c r="A5" s="107" t="str">
        <x:v>OI-004</x:v>
      </x:c>
      <x:c r="B5" s="108" t="str">
        <x:v>卫生间防水</x:v>
      </x:c>
      <x:c r="C5" s="108" t="str">
        <x:v>卫生间第5-6页；防水坝第5项</x:v>
      </x:c>
      <x:c r="D5" s="108" t="str">
        <x:v>卫生间仅列地面翻边300mm、淋浴区墙面2000mm、防水坝1m，干区和节点加强需确认。</x:v>
      </x:c>
      <x:c r="E5" s="108" t="str">
        <x:v>淋浴房刷到2米，其他区域刷到30公分，包含干区。</x:v>
      </x:c>
      <x:c r="F5" s="108" t="str">
        <x:v>待确认</x:v>
      </x:c>
      <x:c r="G5" s="108" t="str">
        <x:v>高</x:v>
      </x:c>
      <x:c r="H5" s="108" t="str">
        <x:v>装修公司</x:v>
      </x:c>
      <x:c r="I5" s="108" t="str">
        <x:v>确认面积覆盖干区、洗手台背墙、门槛石周边、管根、地漏；闭水试验和节点加强是否包含。</x:v>
      </x:c>
      <x:c r="J5" s="109" t="n">
        <x:v>1372.6</x:v>
      </x:c>
      <x:c r="K5" s="133" t="str">
        <x:v>2026-06-30</x:v>
      </x:c>
      <x:c r="L5" s="110" t="str"/>
    </x:row>
    <x:row r="6">
      <x:c r="A6" s="107" t="str">
        <x:v>OI-005</x:v>
      </x:c>
      <x:c r="B6" s="108" t="str">
        <x:v>墙面找平</x:v>
      </x:c>
      <x:c r="C6" s="108" t="str">
        <x:v>多空间“墙面冲筋找平”；其它费用第7项补差</x:v>
      </x:c>
      <x:c r="D6" s="108" t="str">
        <x:v>墙面冲筋找平合计约171.57㎡，接近全屋墙面。</x:v>
      </x:c>
      <x:c r="E6" s="108" t="str">
        <x:v>全屋冲筋找平是统帅工艺，为加强平整度、防开裂，并保证柜子、门套安装平整。</x:v>
      </x:c>
      <x:c r="F6" s="108" t="str">
        <x:v>待追问</x:v>
      </x:c>
      <x:c r="G6" s="108" t="str">
        <x:v>中</x:v>
      </x:c>
      <x:c r="H6" s="108" t="str">
        <x:v>装修公司</x:v>
      </x:c>
      <x:c r="I6" s="108" t="str">
        <x:v>确认是否必须全屋做；能否2m靠尺实测后对达标墙面减项；腻子、乳胶漆基层是否不会重复收费。</x:v>
      </x:c>
      <x:c r="J6" s="109" t="n">
        <x:v>10382.48</x:v>
      </x:c>
      <x:c r="K6" s="133" t="str">
        <x:v>2026-06-30</x:v>
      </x:c>
      <x:c r="L6" s="110" t="str"/>
    </x:row>
    <x:row r="7">
      <x:c r="A7" s="107" t="str">
        <x:v>OI-006</x:v>
      </x:c>
      <x:c r="B7" s="108" t="str">
        <x:v>美缝</x:v>
      </x:c>
      <x:c r="C7" s="108" t="str">
        <x:v>墙地砖相关美缝项</x:v>
      </x:c>
      <x:c r="D7" s="108" t="str">
        <x:v>美缝按米计价，需明确品牌、颜色、测量和损耗。</x:v>
      </x:c>
      <x:c r="E7" s="108" t="str">
        <x:v>涉及墙地砖的美缝已经包含在里面。</x:v>
      </x:c>
      <x:c r="F7" s="108" t="str">
        <x:v>待确认</x:v>
      </x:c>
      <x:c r="G7" s="108" t="str">
        <x:v>中</x:v>
      </x:c>
      <x:c r="H7" s="108" t="str">
        <x:v>装修公司</x:v>
      </x:c>
      <x:c r="I7" s="108" t="str">
        <x:v>确认包含区域、品牌/型号/颜色范围、是否清缝、最终是否按实补差或另计损耗。</x:v>
      </x:c>
      <x:c r="J7" s="109" t="n">
        <x:v>2198</x:v>
      </x:c>
      <x:c r="K7" s="133" t="str">
        <x:v>2026-06-30</x:v>
      </x:c>
      <x:c r="L7" s="110" t="str"/>
    </x:row>
    <x:row r="8">
      <x:c r="A8" s="107" t="str">
        <x:v>OI-007</x:v>
      </x:c>
      <x:c r="B8" s="108" t="str">
        <x:v>主材待定</x:v>
      </x:c>
      <x:c r="C8" s="108" t="str">
        <x:v>主材清单第1页；各空间主材项</x:v>
      </x:c>
      <x:c r="D8" s="108" t="str">
        <x:v>大量主材为品牌型号待定、按实结算。</x:v>
      </x:c>
      <x:c r="E8" s="108" t="str">
        <x:v>附件后面列了不同空间可选主材和品牌表，可提前约选材。</x:v>
      </x:c>
      <x:c r="F8" s="108" t="str">
        <x:v>待追问</x:v>
      </x:c>
      <x:c r="G8" s="108" t="str">
        <x:v>高</x:v>
      </x:c>
      <x:c r="H8" s="108" t="str">
        <x:v>装修公司</x:v>
      </x:c>
      <x:c r="I8" s="108" t="str">
        <x:v>提供预算内可选的具体品牌、系列、型号或价格区间；明确超预算是只补差价还是整项重计。</x:v>
      </x:c>
      <x:c r="J8" s="109" t="n">
        <x:v>56581.2</x:v>
      </x:c>
      <x:c r="K8" s="133" t="str">
        <x:v>2026-06-30</x:v>
      </x:c>
      <x:c r="L8" s="110" t="str"/>
    </x:row>
    <x:row r="9">
      <x:c r="A9" s="107" t="str">
        <x:v>OI-008</x:v>
      </x:c>
      <x:c r="B9" s="108" t="str">
        <x:v>定制柜</x:v>
      </x:c>
      <x:c r="C9" s="108" t="str">
        <x:v>厨房第12项；定制衣柜第1项</x:v>
      </x:c>
      <x:c r="D9" s="108" t="str">
        <x:v>橱柜15000元/套、衣柜5000元/套，口径不清。</x:v>
      </x:c>
      <x:c r="E9" s="108" t="str">
        <x:v>橱柜和衣柜看作全屋定制项目，后期找几家品牌详细沟通设计。</x:v>
      </x:c>
      <x:c r="F9" s="108" t="str">
        <x:v>待追问</x:v>
      </x:c>
      <x:c r="G9" s="108" t="str">
        <x:v>高</x:v>
      </x:c>
      <x:c r="H9" s="108" t="str">
        <x:v>装修公司</x:v>
      </x:c>
      <x:c r="I9" s="108" t="str">
        <x:v>列明预算内柜体面积/延米、板材、门板、台面、五金、抽屉、拉篮、封板、见光板、踢脚线、收口、安装。</x:v>
      </x:c>
      <x:c r="J9" s="109" t="n">
        <x:v>20000</x:v>
      </x:c>
      <x:c r="K9" s="133" t="str">
        <x:v>2026-06-30</x:v>
      </x:c>
      <x:c r="L9" s="110" t="str"/>
    </x:row>
    <x:row r="10">
      <x:c r="A10" s="107" t="str">
        <x:v>OI-009</x:v>
      </x:c>
      <x:c r="B10" s="108" t="str">
        <x:v>卫浴主材</x:v>
      </x:c>
      <x:c r="C10" s="108" t="str">
        <x:v>台盆柜、马桶、淋浴房、龙头等</x:v>
      </x:c>
      <x:c r="D10" s="108" t="str">
        <x:v>卫浴主材多为品牌型号待定。</x:v>
      </x:c>
      <x:c r="E10" s="108" t="str">
        <x:v>主材根据实际选择，按实际结算。</x:v>
      </x:c>
      <x:c r="F10" s="108" t="str">
        <x:v>待追问</x:v>
      </x:c>
      <x:c r="G10" s="108" t="str">
        <x:v>中</x:v>
      </x:c>
      <x:c r="H10" s="108" t="str">
        <x:v>装修公司</x:v>
      </x:c>
      <x:c r="I10" s="108" t="str">
        <x:v>提供预算价对应可选品牌/型号/价格范围；确认升级是否只补差价。</x:v>
      </x:c>
      <x:c r="J10" s="109" t="n">
        <x:v>9944</x:v>
      </x:c>
      <x:c r="K10" s="133" t="str">
        <x:v>2026-06-30</x:v>
      </x:c>
      <x:c r="L10" s="110" t="str"/>
    </x:row>
    <x:row r="11">
      <x:c r="A11" s="107" t="str">
        <x:v>OI-010</x:v>
      </x:c>
      <x:c r="B11" s="108" t="str">
        <x:v>灯具</x:v>
      </x:c>
      <x:c r="C11" s="108" t="str">
        <x:v>安装工程第6-12项</x:v>
      </x:c>
      <x:c r="D11" s="108" t="str">
        <x:v>灯具部分多项主材为0，只含安装或少量辅材。</x:v>
      </x:c>
      <x:c r="E11" s="108" t="str">
        <x:v>筒灯包含；主灯具业主购买，装修公司安装。</x:v>
      </x:c>
      <x:c r="F11" s="108" t="str">
        <x:v>待确认</x:v>
      </x:c>
      <x:c r="G11" s="108" t="str">
        <x:v>中</x:v>
      </x:c>
      <x:c r="H11" s="108" t="str">
        <x:v>装修公司</x:v>
      </x:c>
      <x:c r="I11" s="108" t="str">
        <x:v>确认射灯、吸顶灯、灯带、磁吸灯/线型灯的灯体、轨道、变压器、电源、开孔、接线、调试分别由谁负责。</x:v>
      </x:c>
      <x:c r="J11" s="109" t="n">
        <x:v>480.52</x:v>
      </x:c>
      <x:c r="K11" s="133" t="str">
        <x:v>2026-06-30</x:v>
      </x:c>
      <x:c r="L11" s="110" t="str"/>
    </x:row>
    <x:row r="12">
      <x:c r="A12" s="107" t="str">
        <x:v>OI-011</x:v>
      </x:c>
      <x:c r="B12" s="108" t="str">
        <x:v>窗帘</x:v>
      </x:c>
      <x:c r="C12" s="108" t="str">
        <x:v>窗帘项目第1-2项</x:v>
      </x:c>
      <x:c r="D12" s="108" t="str">
        <x:v>窗帘套餐只含10延米布帘，电机、超高、超宽另计。</x:v>
      </x:c>
      <x:c r="E12" s="108" t="str">
        <x:v>到软装馆按实际选择确定，也可外面对比选择。</x:v>
      </x:c>
      <x:c r="F12" s="108" t="str">
        <x:v>待追问</x:v>
      </x:c>
      <x:c r="G12" s="108" t="str">
        <x:v>中</x:v>
      </x:c>
      <x:c r="H12" s="108" t="str">
        <x:v>装修公司</x:v>
      </x:c>
      <x:c r="I12" s="108" t="str">
        <x:v>确认2999套餐包含内容、10延米是否够全屋、是否含纱帘/遮光布/轨道、348元/米是否锁价、电机是否不含。</x:v>
      </x:c>
      <x:c r="J12" s="109" t="n">
        <x:v>3695</x:v>
      </x:c>
      <x:c r="K12" s="133" t="str">
        <x:v>2026-06-30</x:v>
      </x:c>
      <x:c r="L12" s="110" t="str"/>
    </x:row>
    <x:row r="13">
      <x:c r="A13" s="111" t="str">
        <x:v>OI-012</x:v>
      </x:c>
      <x:c r="B13" s="113" t="str">
        <x:v>煤气管</x:v>
      </x:c>
      <x:c r="C13" s="113" t="str">
        <x:v>厨房第17-18项</x:v>
      </x:c>
      <x:c r="D13" s="113" t="str">
        <x:v>煤气管套餐含5m，超出75元/m。</x:v>
      </x:c>
      <x:c r="E13" s="113" t="str">
        <x:v>煤气表安装套餐够用。</x:v>
      </x:c>
      <x:c r="F13" s="113" t="str">
        <x:v>待确认</x:v>
      </x:c>
      <x:c r="G13" s="113" t="str">
        <x:v>低</x:v>
      </x:c>
      <x:c r="H13" s="113" t="str">
        <x:v>装修公司</x:v>
      </x:c>
      <x:c r="I13" s="113" t="str">
        <x:v>确认现场若超出5m是否仍不加钱；如加钱按75元/m，阀门、报警器、检测是否包含。</x:v>
      </x:c>
      <x:c r="J13" s="112" t="n">
        <x:v>1360</x:v>
      </x:c>
      <x:c r="K13" s="134" t="str">
        <x:v>2026-06-30</x:v>
      </x:c>
      <x:c r="L13" s="114" t="str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  <x:c r="J14" s="137"/>
      <x:c r="K14" s="138"/>
      <x:c r="L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137"/>
      <x:c r="K15" s="138"/>
      <x:c r="L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137"/>
      <x:c r="K16" s="138"/>
      <x:c r="L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137"/>
      <x:c r="K17" s="138"/>
      <x:c r="L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137"/>
      <x:c r="K18" s="138"/>
      <x:c r="L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137"/>
      <x:c r="K19" s="138"/>
      <x:c r="L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137"/>
      <x:c r="K20" s="138"/>
      <x:c r="L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137"/>
      <x:c r="K21" s="138"/>
      <x:c r="L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137"/>
      <x:c r="K22" s="138"/>
      <x:c r="L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137"/>
      <x:c r="K23" s="138"/>
      <x:c r="L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137"/>
      <x:c r="K24" s="138"/>
      <x:c r="L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137"/>
      <x:c r="K25" s="138"/>
      <x:c r="L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137"/>
      <x:c r="K26" s="138"/>
      <x:c r="L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137"/>
      <x:c r="K27" s="138"/>
      <x:c r="L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137"/>
      <x:c r="K28" s="138"/>
      <x:c r="L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137"/>
      <x:c r="K29" s="138"/>
      <x:c r="L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137"/>
      <x:c r="K30" s="138"/>
      <x:c r="L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137"/>
      <x:c r="K31" s="138"/>
      <x:c r="L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137"/>
      <x:c r="K32" s="138"/>
      <x:c r="L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137"/>
      <x:c r="K33" s="138"/>
      <x:c r="L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137"/>
      <x:c r="K34" s="138"/>
      <x:c r="L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137"/>
      <x:c r="K35" s="138"/>
      <x:c r="L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137"/>
      <x:c r="K36" s="138"/>
      <x:c r="L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137"/>
      <x:c r="K37" s="138"/>
      <x:c r="L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137"/>
      <x:c r="K38" s="138"/>
      <x:c r="L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137"/>
      <x:c r="K39" s="138"/>
      <x:c r="L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137"/>
      <x:c r="K40" s="138"/>
      <x:c r="L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137"/>
      <x:c r="K41" s="138"/>
      <x:c r="L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137"/>
      <x:c r="K42" s="138"/>
      <x:c r="L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137"/>
      <x:c r="K43" s="138"/>
      <x:c r="L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137"/>
      <x:c r="K44" s="138"/>
      <x:c r="L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137"/>
      <x:c r="K45" s="138"/>
      <x:c r="L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137"/>
      <x:c r="K46" s="138"/>
      <x:c r="L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137"/>
      <x:c r="K47" s="138"/>
      <x:c r="L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137"/>
      <x:c r="K48" s="138"/>
      <x:c r="L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137"/>
      <x:c r="K49" s="138"/>
      <x:c r="L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137"/>
      <x:c r="K50" s="138"/>
      <x:c r="L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137"/>
      <x:c r="K51" s="138"/>
      <x:c r="L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137"/>
      <x:c r="K52" s="138"/>
      <x:c r="L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137"/>
      <x:c r="K53" s="138"/>
      <x:c r="L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137"/>
      <x:c r="K54" s="138"/>
      <x:c r="L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137"/>
      <x:c r="K55" s="138"/>
      <x:c r="L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137"/>
      <x:c r="K56" s="138"/>
      <x:c r="L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137"/>
      <x:c r="K57" s="138"/>
      <x:c r="L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137"/>
      <x:c r="K58" s="138"/>
      <x:c r="L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137"/>
      <x:c r="K59" s="138"/>
      <x:c r="L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137"/>
      <x:c r="K60" s="138"/>
      <x:c r="L60" s="93"/>
    </x:row>
  </x:sheetData>
  <x:conditionalFormatting sqref="F2:F60">
    <x:cfRule type="containsText" dxfId="0" priority="1" operator="containsText" text="待追问"/>
    <x:cfRule type="containsText" dxfId="1" priority="2" operator="containsText" text="待确认"/>
    <x:cfRule type="containsText" dxfId="2" priority="3" operator="containsText" text="有争议"/>
    <x:cfRule type="containsText" dxfId="3" priority="4" operator="containsText" text="已关闭"/>
    <x:cfRule type="containsText" dxfId="4" priority="5" operator="containsText" text="施工中"/>
  </x:conditionalFormatting>
  <x:conditionalFormatting sqref="G2:G60">
    <x:cfRule type="containsText" dxfId="5" priority="6" operator="containsText" text="高"/>
    <x:cfRule type="containsText" dxfId="6" priority="7" operator="containsText" text="中"/>
    <x:cfRule type="containsText" dxfId="7" priority="8" operator="containsText" text="低"/>
  </x:conditionalFormatting>
  <x:dataValidations count="2">
    <x:dataValidation type="list" showInputMessage="1" promptTitle="可选值" prompt="待追问 / 待确认 / 有争议 / 已确认 / 已关闭 / 施工中" sqref="F2:F60">
      <x:formula1>"待追问,待确认,有争议,已确认,已关闭,施工中"</x:formula1>
    </x:dataValidation>
    <x:dataValidation type="list" showInputMessage="1" promptTitle="可选值" prompt="高 / 中 / 低" sqref="G2:G60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e0a5a6724445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1.109999656677246" hidden="0" customWidth="1"/>
    <x:col min="3" max="3" width="28.889999389648438" hidden="0" customWidth="1"/>
    <x:col min="4" max="4" width="10" hidden="0" customWidth="1"/>
    <x:col min="5" max="5" width="13.329999923706055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31.110000610351562" hidden="0" customWidth="1"/>
    <x:col min="11" max="11" width="24.440000534057617" hidden="0" customWidth="1"/>
  </x:cols>
  <x:sheetData>
    <x:row r="1">
      <x:c r="A1" s="130" t="str">
        <x:v>ID</x:v>
      </x:c>
      <x:c r="B1" s="131" t="str">
        <x:v>阶段</x:v>
      </x:c>
      <x:c r="C1" s="131" t="str">
        <x:v>任务/范围</x:v>
      </x:c>
      <x:c r="D1" s="131" t="str">
        <x:v>状态</x:v>
      </x:c>
      <x:c r="E1" s="131" t="str">
        <x:v>负责人</x:v>
      </x:c>
      <x:c r="F1" s="131" t="str">
        <x:v>计划开始</x:v>
      </x:c>
      <x:c r="G1" s="131" t="str">
        <x:v>计划结束</x:v>
      </x:c>
      <x:c r="H1" s="131" t="str">
        <x:v>实际开始</x:v>
      </x:c>
      <x:c r="I1" s="131" t="str">
        <x:v>实际结束</x:v>
      </x:c>
      <x:c r="J1" s="131" t="str">
        <x:v>验收/完成标准</x:v>
      </x:c>
      <x:c r="K1" s="132" t="str">
        <x:v>备注</x:v>
      </x:c>
    </x:row>
    <x:row r="2">
      <x:c r="A2" s="107" t="str">
        <x:v>P-001</x:v>
      </x:c>
      <x:c r="B2" s="108" t="str">
        <x:v>预算确认</x:v>
      </x:c>
      <x:c r="C2" s="108" t="str">
        <x:v>预算开放问题逐条回复并写入备注/附件</x:v>
      </x:c>
      <x:c r="D2" s="108" t="str">
        <x:v>未开始</x:v>
      </x:c>
      <x:c r="E2" s="108" t="str">
        <x:v>业主/装修公司</x:v>
      </x:c>
      <x:c r="F2" s="133"/>
      <x:c r="G2" s="133"/>
      <x:c r="H2" s="133"/>
      <x:c r="I2" s="133"/>
      <x:c r="J2" s="108" t="str">
        <x:v>开放问题表中高优先级事项关闭或形成书面备注</x:v>
      </x:c>
      <x:c r="K2" s="110" t="str"/>
    </x:row>
    <x:row r="3">
      <x:c r="A3" s="107" t="str">
        <x:v>P-002</x:v>
      </x:c>
      <x:c r="B3" s="108" t="str">
        <x:v>主材选型</x:v>
      </x:c>
      <x:c r="C3" s="108" t="str">
        <x:v>地板、瓷砖、洁具、橱柜、衣柜、灯具、窗帘预算内选型确认</x:v>
      </x:c>
      <x:c r="D3" s="108" t="str">
        <x:v>未开始</x:v>
      </x:c>
      <x:c r="E3" s="108" t="str">
        <x:v>业主/设计师</x:v>
      </x:c>
      <x:c r="F3" s="133"/>
      <x:c r="G3" s="133"/>
      <x:c r="H3" s="133"/>
      <x:c r="I3" s="133"/>
      <x:c r="J3" s="108" t="str">
        <x:v>主材选型表完整，超预算补差规则明确</x:v>
      </x:c>
      <x:c r="K3" s="110" t="str"/>
    </x:row>
    <x:row r="4">
      <x:c r="A4" s="107" t="str">
        <x:v>P-003</x:v>
      </x:c>
      <x:c r="B4" s="108" t="str">
        <x:v>开工交底</x:v>
      </x:c>
      <x:c r="C4" s="108" t="str">
        <x:v>现场交底、水电点位确认、保护和施工边界确认</x:v>
      </x:c>
      <x:c r="D4" s="108" t="str">
        <x:v>未开始</x:v>
      </x:c>
      <x:c r="E4" s="108" t="str">
        <x:v>项目经理</x:v>
      </x:c>
      <x:c r="F4" s="133"/>
      <x:c r="G4" s="133"/>
      <x:c r="H4" s="133"/>
      <x:c r="I4" s="133"/>
      <x:c r="J4" s="108" t="str">
        <x:v>交底记录签字，水电图纸确认</x:v>
      </x:c>
      <x:c r="K4" s="110" t="str"/>
    </x:row>
    <x:row r="5">
      <x:c r="A5" s="107" t="str">
        <x:v>P-004</x:v>
      </x:c>
      <x:c r="B5" s="108" t="str">
        <x:v>拆改/砌筑</x:v>
      </x:c>
      <x:c r="C5" s="108" t="str">
        <x:v>拆改、新砌墙、门洞过梁等</x:v>
      </x:c>
      <x:c r="D5" s="108" t="str">
        <x:v>未开始</x:v>
      </x:c>
      <x:c r="E5" s="108" t="str">
        <x:v>项目经理</x:v>
      </x:c>
      <x:c r="F5" s="133"/>
      <x:c r="G5" s="133"/>
      <x:c r="H5" s="133"/>
      <x:c r="I5" s="133"/>
      <x:c r="J5" s="108" t="str">
        <x:v>现场尺寸和隐蔽问题确认</x:v>
      </x:c>
      <x:c r="K5" s="110" t="str"/>
    </x:row>
    <x:row r="6">
      <x:c r="A6" s="107" t="str">
        <x:v>P-005</x:v>
      </x:c>
      <x:c r="B6" s="108" t="str">
        <x:v>水电</x:v>
      </x:c>
      <x:c r="C6" s="108" t="str">
        <x:v>强弱电回路、开槽、排管、排水、煤气管配合</x:v>
      </x:c>
      <x:c r="D6" s="108" t="str">
        <x:v>未开始</x:v>
      </x:c>
      <x:c r="E6" s="108" t="str">
        <x:v>水电工/项目经理</x:v>
      </x:c>
      <x:c r="F6" s="133"/>
      <x:c r="G6" s="133"/>
      <x:c r="H6" s="133"/>
      <x:c r="I6" s="133"/>
      <x:c r="J6" s="108" t="str">
        <x:v>水电验收通过，照片留档</x:v>
      </x:c>
      <x:c r="K6" s="110" t="str"/>
    </x:row>
    <x:row r="7">
      <x:c r="A7" s="107" t="str">
        <x:v>P-006</x:v>
      </x:c>
      <x:c r="B7" s="108" t="str">
        <x:v>防水</x:v>
      </x:c>
      <x:c r="C7" s="108" t="str">
        <x:v>卫生间、阳台及需确认的厨房防水</x:v>
      </x:c>
      <x:c r="D7" s="108" t="str">
        <x:v>未开始</x:v>
      </x:c>
      <x:c r="E7" s="108" t="str">
        <x:v>项目经理</x:v>
      </x:c>
      <x:c r="F7" s="133"/>
      <x:c r="G7" s="133"/>
      <x:c r="H7" s="133"/>
      <x:c r="I7" s="133"/>
      <x:c r="J7" s="108" t="str">
        <x:v>闭水试验记录，节点加强照片</x:v>
      </x:c>
      <x:c r="K7" s="110" t="str"/>
    </x:row>
    <x:row r="8">
      <x:c r="A8" s="107" t="str">
        <x:v>P-007</x:v>
      </x:c>
      <x:c r="B8" s="108" t="str">
        <x:v>泥木</x:v>
      </x:c>
      <x:c r="C8" s="108" t="str">
        <x:v>瓷砖铺贴、美缝、吊顶、墙面找平</x:v>
      </x:c>
      <x:c r="D8" s="108" t="str">
        <x:v>未开始</x:v>
      </x:c>
      <x:c r="E8" s="108" t="str">
        <x:v>项目经理</x:v>
      </x:c>
      <x:c r="F8" s="133"/>
      <x:c r="G8" s="133"/>
      <x:c r="H8" s="133"/>
      <x:c r="I8" s="133"/>
      <x:c r="J8" s="108" t="str">
        <x:v>铺贴、找平、吊顶验收</x:v>
      </x:c>
      <x:c r="K8" s="110" t="str"/>
    </x:row>
    <x:row r="9">
      <x:c r="A9" s="107" t="str">
        <x:v>P-008</x:v>
      </x:c>
      <x:c r="B9" s="108" t="str">
        <x:v>油漆</x:v>
      </x:c>
      <x:c r="C9" s="108" t="str">
        <x:v>腻子、乳胶漆、修补</x:v>
      </x:c>
      <x:c r="D9" s="108" t="str">
        <x:v>未开始</x:v>
      </x:c>
      <x:c r="E9" s="108" t="str">
        <x:v>项目经理</x:v>
      </x:c>
      <x:c r="F9" s="133"/>
      <x:c r="G9" s="133"/>
      <x:c r="H9" s="133"/>
      <x:c r="I9" s="133"/>
      <x:c r="J9" s="108" t="str">
        <x:v>墙面平整、无明显裂缝色差</x:v>
      </x:c>
      <x:c r="K9" s="110" t="str"/>
    </x:row>
    <x:row r="10">
      <x:c r="A10" s="107" t="str">
        <x:v>P-009</x:v>
      </x:c>
      <x:c r="B10" s="108" t="str">
        <x:v>安装</x:v>
      </x:c>
      <x:c r="C10" s="108" t="str">
        <x:v>橱柜、衣柜、洁具、灯具、开关面板、窗帘</x:v>
      </x:c>
      <x:c r="D10" s="108" t="str">
        <x:v>未开始</x:v>
      </x:c>
      <x:c r="E10" s="108" t="str">
        <x:v>项目经理/供应商</x:v>
      </x:c>
      <x:c r="F10" s="133"/>
      <x:c r="G10" s="133"/>
      <x:c r="H10" s="133"/>
      <x:c r="I10" s="133"/>
      <x:c r="J10" s="108" t="str">
        <x:v>安装清单完成，功能测试通过</x:v>
      </x:c>
      <x:c r="K10" s="110" t="str"/>
    </x:row>
    <x:row r="11">
      <x:c r="A11" s="111" t="str">
        <x:v>P-010</x:v>
      </x:c>
      <x:c r="B11" s="113" t="str">
        <x:v>竣工验收</x:v>
      </x:c>
      <x:c r="C11" s="113" t="str">
        <x:v>竣工清单、尾款、保修资料</x:v>
      </x:c>
      <x:c r="D11" s="113" t="str">
        <x:v>未开始</x:v>
      </x:c>
      <x:c r="E11" s="113" t="str">
        <x:v>业主/装修公司</x:v>
      </x:c>
      <x:c r="F11" s="134"/>
      <x:c r="G11" s="134"/>
      <x:c r="H11" s="134"/>
      <x:c r="I11" s="134"/>
      <x:c r="J11" s="113" t="str">
        <x:v>问题清单关闭，资料交付</x:v>
      </x:c>
      <x:c r="K11" s="114" t="str"/>
    </x:row>
    <x:row r="12">
      <x:c r="A12" s="93"/>
      <x:c r="B12" s="93"/>
      <x:c r="C12" s="93"/>
      <x:c r="D12" s="93"/>
      <x:c r="E12" s="93"/>
      <x:c r="F12" s="138"/>
      <x:c r="G12" s="138"/>
      <x:c r="H12" s="138"/>
      <x:c r="I12" s="138"/>
      <x:c r="J12" s="93"/>
      <x:c r="K12" s="93"/>
    </x:row>
    <x:row r="13">
      <x:c r="A13" s="93"/>
      <x:c r="B13" s="93"/>
      <x:c r="C13" s="93"/>
      <x:c r="D13" s="93"/>
      <x:c r="E13" s="93"/>
      <x:c r="F13" s="138"/>
      <x:c r="G13" s="138"/>
      <x:c r="H13" s="138"/>
      <x:c r="I13" s="138"/>
      <x:c r="J13" s="93"/>
      <x:c r="K13" s="93"/>
    </x:row>
    <x:row r="14">
      <x:c r="A14" s="93"/>
      <x:c r="B14" s="93"/>
      <x:c r="C14" s="93"/>
      <x:c r="D14" s="93"/>
      <x:c r="E14" s="93"/>
      <x:c r="F14" s="138"/>
      <x:c r="G14" s="138"/>
      <x:c r="H14" s="138"/>
      <x:c r="I14" s="138"/>
      <x:c r="J14" s="93"/>
      <x:c r="K14" s="93"/>
    </x:row>
    <x:row r="15">
      <x:c r="A15" s="93"/>
      <x:c r="B15" s="93"/>
      <x:c r="C15" s="93"/>
      <x:c r="D15" s="93"/>
      <x:c r="E15" s="93"/>
      <x:c r="F15" s="138"/>
      <x:c r="G15" s="138"/>
      <x:c r="H15" s="138"/>
      <x:c r="I15" s="138"/>
      <x:c r="J15" s="93"/>
      <x:c r="K15" s="93"/>
    </x:row>
    <x:row r="16">
      <x:c r="A16" s="93"/>
      <x:c r="B16" s="93"/>
      <x:c r="C16" s="93"/>
      <x:c r="D16" s="93"/>
      <x:c r="E16" s="93"/>
      <x:c r="F16" s="138"/>
      <x:c r="G16" s="138"/>
      <x:c r="H16" s="138"/>
      <x:c r="I16" s="138"/>
      <x:c r="J16" s="93"/>
      <x:c r="K16" s="93"/>
    </x:row>
    <x:row r="17">
      <x:c r="A17" s="93"/>
      <x:c r="B17" s="93"/>
      <x:c r="C17" s="93"/>
      <x:c r="D17" s="93"/>
      <x:c r="E17" s="93"/>
      <x:c r="F17" s="138"/>
      <x:c r="G17" s="138"/>
      <x:c r="H17" s="138"/>
      <x:c r="I17" s="138"/>
      <x:c r="J17" s="93"/>
      <x:c r="K17" s="93"/>
    </x:row>
    <x:row r="18">
      <x:c r="A18" s="93"/>
      <x:c r="B18" s="93"/>
      <x:c r="C18" s="93"/>
      <x:c r="D18" s="93"/>
      <x:c r="E18" s="93"/>
      <x:c r="F18" s="138"/>
      <x:c r="G18" s="138"/>
      <x:c r="H18" s="138"/>
      <x:c r="I18" s="138"/>
      <x:c r="J18" s="93"/>
      <x:c r="K18" s="93"/>
    </x:row>
    <x:row r="19">
      <x:c r="A19" s="93"/>
      <x:c r="B19" s="93"/>
      <x:c r="C19" s="93"/>
      <x:c r="D19" s="93"/>
      <x:c r="E19" s="93"/>
      <x:c r="F19" s="138"/>
      <x:c r="G19" s="138"/>
      <x:c r="H19" s="138"/>
      <x:c r="I19" s="138"/>
      <x:c r="J19" s="93"/>
      <x:c r="K19" s="93"/>
    </x:row>
    <x:row r="20">
      <x:c r="A20" s="93"/>
      <x:c r="B20" s="93"/>
      <x:c r="C20" s="93"/>
      <x:c r="D20" s="93"/>
      <x:c r="E20" s="93"/>
      <x:c r="F20" s="138"/>
      <x:c r="G20" s="138"/>
      <x:c r="H20" s="138"/>
      <x:c r="I20" s="138"/>
      <x:c r="J20" s="93"/>
      <x:c r="K20" s="93"/>
    </x:row>
    <x:row r="21">
      <x:c r="A21" s="93"/>
      <x:c r="B21" s="93"/>
      <x:c r="C21" s="93"/>
      <x:c r="D21" s="93"/>
      <x:c r="E21" s="93"/>
      <x:c r="F21" s="138"/>
      <x:c r="G21" s="138"/>
      <x:c r="H21" s="138"/>
      <x:c r="I21" s="138"/>
      <x:c r="J21" s="93"/>
      <x:c r="K21" s="93"/>
    </x:row>
    <x:row r="22">
      <x:c r="A22" s="93"/>
      <x:c r="B22" s="93"/>
      <x:c r="C22" s="93"/>
      <x:c r="D22" s="93"/>
      <x:c r="E22" s="93"/>
      <x:c r="F22" s="138"/>
      <x:c r="G22" s="138"/>
      <x:c r="H22" s="138"/>
      <x:c r="I22" s="138"/>
      <x:c r="J22" s="93"/>
      <x:c r="K22" s="93"/>
    </x:row>
    <x:row r="23">
      <x:c r="A23" s="93"/>
      <x:c r="B23" s="93"/>
      <x:c r="C23" s="93"/>
      <x:c r="D23" s="93"/>
      <x:c r="E23" s="93"/>
      <x:c r="F23" s="138"/>
      <x:c r="G23" s="138"/>
      <x:c r="H23" s="138"/>
      <x:c r="I23" s="138"/>
      <x:c r="J23" s="93"/>
      <x:c r="K23" s="93"/>
    </x:row>
    <x:row r="24">
      <x:c r="A24" s="93"/>
      <x:c r="B24" s="93"/>
      <x:c r="C24" s="93"/>
      <x:c r="D24" s="93"/>
      <x:c r="E24" s="93"/>
      <x:c r="F24" s="138"/>
      <x:c r="G24" s="138"/>
      <x:c r="H24" s="138"/>
      <x:c r="I24" s="138"/>
      <x:c r="J24" s="93"/>
      <x:c r="K24" s="93"/>
    </x:row>
    <x:row r="25">
      <x:c r="A25" s="93"/>
      <x:c r="B25" s="93"/>
      <x:c r="C25" s="93"/>
      <x:c r="D25" s="93"/>
      <x:c r="E25" s="93"/>
      <x:c r="F25" s="138"/>
      <x:c r="G25" s="138"/>
      <x:c r="H25" s="138"/>
      <x:c r="I25" s="138"/>
      <x:c r="J25" s="93"/>
      <x:c r="K25" s="93"/>
    </x:row>
    <x:row r="26">
      <x:c r="A26" s="93"/>
      <x:c r="B26" s="93"/>
      <x:c r="C26" s="93"/>
      <x:c r="D26" s="93"/>
      <x:c r="E26" s="93"/>
      <x:c r="F26" s="138"/>
      <x:c r="G26" s="138"/>
      <x:c r="H26" s="138"/>
      <x:c r="I26" s="138"/>
      <x:c r="J26" s="93"/>
      <x:c r="K26" s="93"/>
    </x:row>
    <x:row r="27">
      <x:c r="A27" s="93"/>
      <x:c r="B27" s="93"/>
      <x:c r="C27" s="93"/>
      <x:c r="D27" s="93"/>
      <x:c r="E27" s="93"/>
      <x:c r="F27" s="138"/>
      <x:c r="G27" s="138"/>
      <x:c r="H27" s="138"/>
      <x:c r="I27" s="138"/>
      <x:c r="J27" s="93"/>
      <x:c r="K27" s="93"/>
    </x:row>
    <x:row r="28">
      <x:c r="A28" s="93"/>
      <x:c r="B28" s="93"/>
      <x:c r="C28" s="93"/>
      <x:c r="D28" s="93"/>
      <x:c r="E28" s="93"/>
      <x:c r="F28" s="138"/>
      <x:c r="G28" s="138"/>
      <x:c r="H28" s="138"/>
      <x:c r="I28" s="138"/>
      <x:c r="J28" s="93"/>
      <x:c r="K28" s="93"/>
    </x:row>
    <x:row r="29">
      <x:c r="A29" s="93"/>
      <x:c r="B29" s="93"/>
      <x:c r="C29" s="93"/>
      <x:c r="D29" s="93"/>
      <x:c r="E29" s="93"/>
      <x:c r="F29" s="138"/>
      <x:c r="G29" s="138"/>
      <x:c r="H29" s="138"/>
      <x:c r="I29" s="138"/>
      <x:c r="J29" s="93"/>
      <x:c r="K29" s="93"/>
    </x:row>
    <x:row r="30">
      <x:c r="A30" s="93"/>
      <x:c r="B30" s="93"/>
      <x:c r="C30" s="93"/>
      <x:c r="D30" s="93"/>
      <x:c r="E30" s="93"/>
      <x:c r="F30" s="138"/>
      <x:c r="G30" s="138"/>
      <x:c r="H30" s="138"/>
      <x:c r="I30" s="138"/>
      <x:c r="J30" s="93"/>
      <x:c r="K30" s="93"/>
    </x:row>
    <x:row r="31">
      <x:c r="A31" s="93"/>
      <x:c r="B31" s="93"/>
      <x:c r="C31" s="93"/>
      <x:c r="D31" s="93"/>
      <x:c r="E31" s="93"/>
      <x:c r="F31" s="138"/>
      <x:c r="G31" s="138"/>
      <x:c r="H31" s="138"/>
      <x:c r="I31" s="138"/>
      <x:c r="J31" s="93"/>
      <x:c r="K31" s="93"/>
    </x:row>
    <x:row r="32">
      <x:c r="A32" s="93"/>
      <x:c r="B32" s="93"/>
      <x:c r="C32" s="93"/>
      <x:c r="D32" s="93"/>
      <x:c r="E32" s="93"/>
      <x:c r="F32" s="138"/>
      <x:c r="G32" s="138"/>
      <x:c r="H32" s="138"/>
      <x:c r="I32" s="138"/>
      <x:c r="J32" s="93"/>
      <x:c r="K32" s="93"/>
    </x:row>
    <x:row r="33">
      <x:c r="A33" s="93"/>
      <x:c r="B33" s="93"/>
      <x:c r="C33" s="93"/>
      <x:c r="D33" s="93"/>
      <x:c r="E33" s="93"/>
      <x:c r="F33" s="138"/>
      <x:c r="G33" s="138"/>
      <x:c r="H33" s="138"/>
      <x:c r="I33" s="138"/>
      <x:c r="J33" s="93"/>
      <x:c r="K33" s="93"/>
    </x:row>
    <x:row r="34">
      <x:c r="A34" s="93"/>
      <x:c r="B34" s="93"/>
      <x:c r="C34" s="93"/>
      <x:c r="D34" s="93"/>
      <x:c r="E34" s="93"/>
      <x:c r="F34" s="138"/>
      <x:c r="G34" s="138"/>
      <x:c r="H34" s="138"/>
      <x:c r="I34" s="138"/>
      <x:c r="J34" s="93"/>
      <x:c r="K34" s="93"/>
    </x:row>
    <x:row r="35">
      <x:c r="A35" s="93"/>
      <x:c r="B35" s="93"/>
      <x:c r="C35" s="93"/>
      <x:c r="D35" s="93"/>
      <x:c r="E35" s="93"/>
      <x:c r="F35" s="138"/>
      <x:c r="G35" s="138"/>
      <x:c r="H35" s="138"/>
      <x:c r="I35" s="138"/>
      <x:c r="J35" s="93"/>
      <x:c r="K35" s="93"/>
    </x:row>
    <x:row r="36">
      <x:c r="A36" s="93"/>
      <x:c r="B36" s="93"/>
      <x:c r="C36" s="93"/>
      <x:c r="D36" s="93"/>
      <x:c r="E36" s="93"/>
      <x:c r="F36" s="138"/>
      <x:c r="G36" s="138"/>
      <x:c r="H36" s="138"/>
      <x:c r="I36" s="138"/>
      <x:c r="J36" s="93"/>
      <x:c r="K36" s="93"/>
    </x:row>
    <x:row r="37">
      <x:c r="A37" s="93"/>
      <x:c r="B37" s="93"/>
      <x:c r="C37" s="93"/>
      <x:c r="D37" s="93"/>
      <x:c r="E37" s="93"/>
      <x:c r="F37" s="138"/>
      <x:c r="G37" s="138"/>
      <x:c r="H37" s="138"/>
      <x:c r="I37" s="138"/>
      <x:c r="J37" s="93"/>
      <x:c r="K37" s="93"/>
    </x:row>
    <x:row r="38">
      <x:c r="A38" s="93"/>
      <x:c r="B38" s="93"/>
      <x:c r="C38" s="93"/>
      <x:c r="D38" s="93"/>
      <x:c r="E38" s="93"/>
      <x:c r="F38" s="138"/>
      <x:c r="G38" s="138"/>
      <x:c r="H38" s="138"/>
      <x:c r="I38" s="138"/>
      <x:c r="J38" s="93"/>
      <x:c r="K38" s="93"/>
    </x:row>
    <x:row r="39">
      <x:c r="A39" s="93"/>
      <x:c r="B39" s="93"/>
      <x:c r="C39" s="93"/>
      <x:c r="D39" s="93"/>
      <x:c r="E39" s="93"/>
      <x:c r="F39" s="138"/>
      <x:c r="G39" s="138"/>
      <x:c r="H39" s="138"/>
      <x:c r="I39" s="138"/>
      <x:c r="J39" s="93"/>
      <x:c r="K39" s="93"/>
    </x:row>
    <x:row r="40">
      <x:c r="A40" s="93"/>
      <x:c r="B40" s="93"/>
      <x:c r="C40" s="93"/>
      <x:c r="D40" s="93"/>
      <x:c r="E40" s="93"/>
      <x:c r="F40" s="138"/>
      <x:c r="G40" s="138"/>
      <x:c r="H40" s="138"/>
      <x:c r="I40" s="138"/>
      <x:c r="J40" s="93"/>
      <x:c r="K40" s="93"/>
    </x:row>
    <x:row r="41">
      <x:c r="A41" s="93"/>
      <x:c r="B41" s="93"/>
      <x:c r="C41" s="93"/>
      <x:c r="D41" s="93"/>
      <x:c r="E41" s="93"/>
      <x:c r="F41" s="138"/>
      <x:c r="G41" s="138"/>
      <x:c r="H41" s="138"/>
      <x:c r="I41" s="138"/>
      <x:c r="J41" s="93"/>
      <x:c r="K41" s="93"/>
    </x:row>
    <x:row r="42">
      <x:c r="A42" s="93"/>
      <x:c r="B42" s="93"/>
      <x:c r="C42" s="93"/>
      <x:c r="D42" s="93"/>
      <x:c r="E42" s="93"/>
      <x:c r="F42" s="138"/>
      <x:c r="G42" s="138"/>
      <x:c r="H42" s="138"/>
      <x:c r="I42" s="138"/>
      <x:c r="J42" s="93"/>
      <x:c r="K42" s="93"/>
    </x:row>
    <x:row r="43">
      <x:c r="A43" s="93"/>
      <x:c r="B43" s="93"/>
      <x:c r="C43" s="93"/>
      <x:c r="D43" s="93"/>
      <x:c r="E43" s="93"/>
      <x:c r="F43" s="138"/>
      <x:c r="G43" s="138"/>
      <x:c r="H43" s="138"/>
      <x:c r="I43" s="138"/>
      <x:c r="J43" s="93"/>
      <x:c r="K43" s="93"/>
    </x:row>
    <x:row r="44">
      <x:c r="A44" s="93"/>
      <x:c r="B44" s="93"/>
      <x:c r="C44" s="93"/>
      <x:c r="D44" s="93"/>
      <x:c r="E44" s="93"/>
      <x:c r="F44" s="138"/>
      <x:c r="G44" s="138"/>
      <x:c r="H44" s="138"/>
      <x:c r="I44" s="138"/>
      <x:c r="J44" s="93"/>
      <x:c r="K44" s="93"/>
    </x:row>
    <x:row r="45">
      <x:c r="A45" s="93"/>
      <x:c r="B45" s="93"/>
      <x:c r="C45" s="93"/>
      <x:c r="D45" s="93"/>
      <x:c r="E45" s="93"/>
      <x:c r="F45" s="138"/>
      <x:c r="G45" s="138"/>
      <x:c r="H45" s="138"/>
      <x:c r="I45" s="138"/>
      <x:c r="J45" s="93"/>
      <x:c r="K45" s="93"/>
    </x:row>
    <x:row r="46">
      <x:c r="A46" s="93"/>
      <x:c r="B46" s="93"/>
      <x:c r="C46" s="93"/>
      <x:c r="D46" s="93"/>
      <x:c r="E46" s="93"/>
      <x:c r="F46" s="138"/>
      <x:c r="G46" s="138"/>
      <x:c r="H46" s="138"/>
      <x:c r="I46" s="138"/>
      <x:c r="J46" s="93"/>
      <x:c r="K46" s="93"/>
    </x:row>
    <x:row r="47">
      <x:c r="A47" s="93"/>
      <x:c r="B47" s="93"/>
      <x:c r="C47" s="93"/>
      <x:c r="D47" s="93"/>
      <x:c r="E47" s="93"/>
      <x:c r="F47" s="138"/>
      <x:c r="G47" s="138"/>
      <x:c r="H47" s="138"/>
      <x:c r="I47" s="138"/>
      <x:c r="J47" s="93"/>
      <x:c r="K47" s="93"/>
    </x:row>
    <x:row r="48">
      <x:c r="A48" s="93"/>
      <x:c r="B48" s="93"/>
      <x:c r="C48" s="93"/>
      <x:c r="D48" s="93"/>
      <x:c r="E48" s="93"/>
      <x:c r="F48" s="138"/>
      <x:c r="G48" s="138"/>
      <x:c r="H48" s="138"/>
      <x:c r="I48" s="138"/>
      <x:c r="J48" s="93"/>
      <x:c r="K48" s="93"/>
    </x:row>
    <x:row r="49">
      <x:c r="A49" s="93"/>
      <x:c r="B49" s="93"/>
      <x:c r="C49" s="93"/>
      <x:c r="D49" s="93"/>
      <x:c r="E49" s="93"/>
      <x:c r="F49" s="138"/>
      <x:c r="G49" s="138"/>
      <x:c r="H49" s="138"/>
      <x:c r="I49" s="138"/>
      <x:c r="J49" s="93"/>
      <x:c r="K49" s="93"/>
    </x:row>
    <x:row r="50">
      <x:c r="A50" s="93"/>
      <x:c r="B50" s="93"/>
      <x:c r="C50" s="93"/>
      <x:c r="D50" s="93"/>
      <x:c r="E50" s="93"/>
      <x:c r="F50" s="138"/>
      <x:c r="G50" s="138"/>
      <x:c r="H50" s="138"/>
      <x:c r="I50" s="138"/>
      <x:c r="J50" s="93"/>
      <x:c r="K50" s="93"/>
    </x:row>
    <x:row r="51">
      <x:c r="A51" s="93"/>
      <x:c r="B51" s="93"/>
      <x:c r="C51" s="93"/>
      <x:c r="D51" s="93"/>
      <x:c r="E51" s="93"/>
      <x:c r="F51" s="138"/>
      <x:c r="G51" s="138"/>
      <x:c r="H51" s="138"/>
      <x:c r="I51" s="138"/>
      <x:c r="J51" s="93"/>
      <x:c r="K51" s="93"/>
    </x:row>
    <x:row r="52">
      <x:c r="A52" s="93"/>
      <x:c r="B52" s="93"/>
      <x:c r="C52" s="93"/>
      <x:c r="D52" s="93"/>
      <x:c r="E52" s="93"/>
      <x:c r="F52" s="138"/>
      <x:c r="G52" s="138"/>
      <x:c r="H52" s="138"/>
      <x:c r="I52" s="138"/>
      <x:c r="J52" s="93"/>
      <x:c r="K52" s="93"/>
    </x:row>
    <x:row r="53">
      <x:c r="A53" s="93"/>
      <x:c r="B53" s="93"/>
      <x:c r="C53" s="93"/>
      <x:c r="D53" s="93"/>
      <x:c r="E53" s="93"/>
      <x:c r="F53" s="138"/>
      <x:c r="G53" s="138"/>
      <x:c r="H53" s="138"/>
      <x:c r="I53" s="138"/>
      <x:c r="J53" s="93"/>
      <x:c r="K53" s="93"/>
    </x:row>
    <x:row r="54">
      <x:c r="A54" s="93"/>
      <x:c r="B54" s="93"/>
      <x:c r="C54" s="93"/>
      <x:c r="D54" s="93"/>
      <x:c r="E54" s="93"/>
      <x:c r="F54" s="138"/>
      <x:c r="G54" s="138"/>
      <x:c r="H54" s="138"/>
      <x:c r="I54" s="138"/>
      <x:c r="J54" s="93"/>
      <x:c r="K54" s="93"/>
    </x:row>
    <x:row r="55">
      <x:c r="A55" s="93"/>
      <x:c r="B55" s="93"/>
      <x:c r="C55" s="93"/>
      <x:c r="D55" s="93"/>
      <x:c r="E55" s="93"/>
      <x:c r="F55" s="138"/>
      <x:c r="G55" s="138"/>
      <x:c r="H55" s="138"/>
      <x:c r="I55" s="138"/>
      <x:c r="J55" s="93"/>
      <x:c r="K55" s="93"/>
    </x:row>
    <x:row r="56">
      <x:c r="A56" s="93"/>
      <x:c r="B56" s="93"/>
      <x:c r="C56" s="93"/>
      <x:c r="D56" s="93"/>
      <x:c r="E56" s="93"/>
      <x:c r="F56" s="138"/>
      <x:c r="G56" s="138"/>
      <x:c r="H56" s="138"/>
      <x:c r="I56" s="138"/>
      <x:c r="J56" s="93"/>
      <x:c r="K56" s="93"/>
    </x:row>
    <x:row r="57">
      <x:c r="A57" s="93"/>
      <x:c r="B57" s="93"/>
      <x:c r="C57" s="93"/>
      <x:c r="D57" s="93"/>
      <x:c r="E57" s="93"/>
      <x:c r="F57" s="138"/>
      <x:c r="G57" s="138"/>
      <x:c r="H57" s="138"/>
      <x:c r="I57" s="138"/>
      <x:c r="J57" s="93"/>
      <x:c r="K57" s="93"/>
    </x:row>
    <x:row r="58">
      <x:c r="A58" s="93"/>
      <x:c r="B58" s="93"/>
      <x:c r="C58" s="93"/>
      <x:c r="D58" s="93"/>
      <x:c r="E58" s="93"/>
      <x:c r="F58" s="138"/>
      <x:c r="G58" s="138"/>
      <x:c r="H58" s="138"/>
      <x:c r="I58" s="138"/>
      <x:c r="J58" s="93"/>
      <x:c r="K58" s="93"/>
    </x:row>
    <x:row r="59">
      <x:c r="A59" s="93"/>
      <x:c r="B59" s="93"/>
      <x:c r="C59" s="93"/>
      <x:c r="D59" s="93"/>
      <x:c r="E59" s="93"/>
      <x:c r="F59" s="138"/>
      <x:c r="G59" s="138"/>
      <x:c r="H59" s="138"/>
      <x:c r="I59" s="138"/>
      <x:c r="J59" s="93"/>
      <x:c r="K59" s="93"/>
    </x:row>
    <x:row r="60">
      <x:c r="A60" s="93"/>
      <x:c r="B60" s="93"/>
      <x:c r="C60" s="93"/>
      <x:c r="D60" s="93"/>
      <x:c r="E60" s="93"/>
      <x:c r="F60" s="138"/>
      <x:c r="G60" s="138"/>
      <x:c r="H60" s="138"/>
      <x:c r="I60" s="138"/>
      <x:c r="J60" s="93"/>
      <x:c r="K60" s="93"/>
    </x:row>
  </x:sheetData>
  <x:conditionalFormatting sqref="D2:D60">
    <x:cfRule type="containsText" dxfId="8" priority="1" operator="containsText" text="待追问"/>
    <x:cfRule type="containsText" dxfId="9" priority="2" operator="containsText" text="待确认"/>
    <x:cfRule type="containsText" dxfId="10" priority="3" operator="containsText" text="有争议"/>
    <x:cfRule type="containsText" dxfId="11" priority="4" operator="containsText" text="已关闭"/>
    <x:cfRule type="containsText" dxfId="12" priority="5" operator="containsText" text="施工中"/>
  </x:conditionalFormatting>
  <x:dataValidations count="1">
    <x:dataValidation type="list" showInputMessage="1" promptTitle="可选值" prompt="未开始 / 施工中 / 待验收 / 已完成 / 暂停 / 有风险" sqref="D2:D60">
      <x:formula1>"未开始,施工中,待验收,已完成,暂停,有风险"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144e95d80f46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0.5600004196167" hidden="0" customWidth="1"/>
    <x:col min="3" max="3" width="11.109999656677246" hidden="0" customWidth="1"/>
    <x:col min="4" max="4" width="13.329999923706055" hidden="0" customWidth="1"/>
    <x:col min="5" max="5" width="33.33000183105469" hidden="0" customWidth="1"/>
    <x:col min="6" max="6" width="10" hidden="0" customWidth="1"/>
    <x:col min="7" max="7" width="13.329999923706055" hidden="0" customWidth="1"/>
    <x:col min="8" max="8" width="10.5600004196167" hidden="0" customWidth="1"/>
    <x:col min="9" max="9" width="31.110000610351562" hidden="0" customWidth="1"/>
    <x:col min="10" max="10" width="22.219999313354492" hidden="0" customWidth="1"/>
    <x:col min="11" max="11" width="24.440000534057617" hidden="0" customWidth="1"/>
  </x:cols>
  <x:sheetData>
    <x:row r="1">
      <x:c r="A1" s="130" t="str">
        <x:v>ID</x:v>
      </x:c>
      <x:c r="B1" s="131" t="str">
        <x:v>发现日期</x:v>
      </x:c>
      <x:c r="C1" s="131" t="str">
        <x:v>阶段</x:v>
      </x:c>
      <x:c r="D1" s="131" t="str">
        <x:v>位置</x:v>
      </x:c>
      <x:c r="E1" s="131" t="str">
        <x:v>问题描述</x:v>
      </x:c>
      <x:c r="F1" s="131" t="str">
        <x:v>状态</x:v>
      </x:c>
      <x:c r="G1" s="131" t="str">
        <x:v>责任人</x:v>
      </x:c>
      <x:c r="H1" s="131" t="str">
        <x:v>截止日期</x:v>
      </x:c>
      <x:c r="I1" s="131" t="str">
        <x:v>处理要求/验收标准</x:v>
      </x:c>
      <x:c r="J1" s="131" t="str">
        <x:v>照片/证据链接</x:v>
      </x:c>
      <x:c r="K1" s="132" t="str">
        <x:v>关闭记录</x:v>
      </x:c>
    </x:row>
    <x:row r="2">
      <x:c r="A2" s="107" t="str">
        <x:v>SI-001</x:v>
      </x:c>
      <x:c r="B2" s="133" t="str"/>
      <x:c r="C2" s="108" t="str">
        <x:v>水电</x:v>
      </x:c>
      <x:c r="D2" s="108" t="str">
        <x:v>全屋</x:v>
      </x:c>
      <x:c r="E2" s="108" t="str">
        <x:v>水电回路和点位需现场放线确认</x:v>
      </x:c>
      <x:c r="F2" s="108" t="str">
        <x:v>待处理</x:v>
      </x:c>
      <x:c r="G2" s="108" t="str">
        <x:v>业主/项目经理</x:v>
      </x:c>
      <x:c r="H2" s="133" t="str"/>
      <x:c r="I2" s="108" t="str">
        <x:v>水电点位图签字，照片留档</x:v>
      </x:c>
      <x:c r="J2" s="108" t="str"/>
      <x:c r="K2" s="110" t="str"/>
    </x:row>
    <x:row r="3">
      <x:c r="A3" s="111" t="str">
        <x:v>SI-002</x:v>
      </x:c>
      <x:c r="B3" s="134" t="str"/>
      <x:c r="C3" s="113" t="str">
        <x:v>防水</x:v>
      </x:c>
      <x:c r="D3" s="113" t="str">
        <x:v>卫生间/阳台</x:v>
      </x:c>
      <x:c r="E3" s="113" t="str">
        <x:v>闭水试验和管根地漏加强需留档</x:v>
      </x:c>
      <x:c r="F3" s="113" t="str">
        <x:v>待处理</x:v>
      </x:c>
      <x:c r="G3" s="113" t="str">
        <x:v>项目经理</x:v>
      </x:c>
      <x:c r="H3" s="134" t="str"/>
      <x:c r="I3" s="113" t="str">
        <x:v>闭水记录和照片</x:v>
      </x:c>
      <x:c r="J3" s="113" t="str"/>
      <x:c r="K3" s="114" t="str"/>
    </x:row>
    <x:row r="4">
      <x:c r="A4" s="93"/>
      <x:c r="B4" s="138"/>
      <x:c r="C4" s="93"/>
      <x:c r="D4" s="93"/>
      <x:c r="E4" s="93"/>
      <x:c r="F4" s="93"/>
      <x:c r="G4" s="93"/>
      <x:c r="H4" s="138"/>
      <x:c r="I4" s="93"/>
      <x:c r="J4" s="93"/>
      <x:c r="K4" s="93"/>
    </x:row>
    <x:row r="5">
      <x:c r="A5" s="93"/>
      <x:c r="B5" s="138"/>
      <x:c r="C5" s="93"/>
      <x:c r="D5" s="93"/>
      <x:c r="E5" s="93"/>
      <x:c r="F5" s="93"/>
      <x:c r="G5" s="93"/>
      <x:c r="H5" s="138"/>
      <x:c r="I5" s="93"/>
      <x:c r="J5" s="93"/>
      <x:c r="K5" s="93"/>
    </x:row>
    <x:row r="6">
      <x:c r="A6" s="93"/>
      <x:c r="B6" s="138"/>
      <x:c r="C6" s="93"/>
      <x:c r="D6" s="93"/>
      <x:c r="E6" s="93"/>
      <x:c r="F6" s="93"/>
      <x:c r="G6" s="93"/>
      <x:c r="H6" s="138"/>
      <x:c r="I6" s="93"/>
      <x:c r="J6" s="93"/>
      <x:c r="K6" s="93"/>
    </x:row>
    <x:row r="7">
      <x:c r="A7" s="93"/>
      <x:c r="B7" s="138"/>
      <x:c r="C7" s="93"/>
      <x:c r="D7" s="93"/>
      <x:c r="E7" s="93"/>
      <x:c r="F7" s="93"/>
      <x:c r="G7" s="93"/>
      <x:c r="H7" s="138"/>
      <x:c r="I7" s="93"/>
      <x:c r="J7" s="93"/>
      <x:c r="K7" s="93"/>
    </x:row>
    <x:row r="8">
      <x:c r="A8" s="93"/>
      <x:c r="B8" s="138"/>
      <x:c r="C8" s="93"/>
      <x:c r="D8" s="93"/>
      <x:c r="E8" s="93"/>
      <x:c r="F8" s="93"/>
      <x:c r="G8" s="93"/>
      <x:c r="H8" s="138"/>
      <x:c r="I8" s="93"/>
      <x:c r="J8" s="93"/>
      <x:c r="K8" s="93"/>
    </x:row>
    <x:row r="9">
      <x:c r="A9" s="93"/>
      <x:c r="B9" s="138"/>
      <x:c r="C9" s="93"/>
      <x:c r="D9" s="93"/>
      <x:c r="E9" s="93"/>
      <x:c r="F9" s="93"/>
      <x:c r="G9" s="93"/>
      <x:c r="H9" s="138"/>
      <x:c r="I9" s="93"/>
      <x:c r="J9" s="93"/>
      <x:c r="K9" s="93"/>
    </x:row>
    <x:row r="10">
      <x:c r="A10" s="93"/>
      <x:c r="B10" s="138"/>
      <x:c r="C10" s="93"/>
      <x:c r="D10" s="93"/>
      <x:c r="E10" s="93"/>
      <x:c r="F10" s="93"/>
      <x:c r="G10" s="93"/>
      <x:c r="H10" s="138"/>
      <x:c r="I10" s="93"/>
      <x:c r="J10" s="93"/>
      <x:c r="K10" s="93"/>
    </x:row>
    <x:row r="11">
      <x:c r="A11" s="93"/>
      <x:c r="B11" s="138"/>
      <x:c r="C11" s="93"/>
      <x:c r="D11" s="93"/>
      <x:c r="E11" s="93"/>
      <x:c r="F11" s="93"/>
      <x:c r="G11" s="93"/>
      <x:c r="H11" s="138"/>
      <x:c r="I11" s="93"/>
      <x:c r="J11" s="93"/>
      <x:c r="K11" s="93"/>
    </x:row>
    <x:row r="12">
      <x:c r="A12" s="93"/>
      <x:c r="B12" s="138"/>
      <x:c r="C12" s="93"/>
      <x:c r="D12" s="93"/>
      <x:c r="E12" s="93"/>
      <x:c r="F12" s="93"/>
      <x:c r="G12" s="93"/>
      <x:c r="H12" s="138"/>
      <x:c r="I12" s="93"/>
      <x:c r="J12" s="93"/>
      <x:c r="K12" s="93"/>
    </x:row>
    <x:row r="13">
      <x:c r="A13" s="93"/>
      <x:c r="B13" s="138"/>
      <x:c r="C13" s="93"/>
      <x:c r="D13" s="93"/>
      <x:c r="E13" s="93"/>
      <x:c r="F13" s="93"/>
      <x:c r="G13" s="93"/>
      <x:c r="H13" s="138"/>
      <x:c r="I13" s="93"/>
      <x:c r="J13" s="93"/>
      <x:c r="K13" s="93"/>
    </x:row>
    <x:row r="14">
      <x:c r="A14" s="93"/>
      <x:c r="B14" s="138"/>
      <x:c r="C14" s="93"/>
      <x:c r="D14" s="93"/>
      <x:c r="E14" s="93"/>
      <x:c r="F14" s="93"/>
      <x:c r="G14" s="93"/>
      <x:c r="H14" s="138"/>
      <x:c r="I14" s="93"/>
      <x:c r="J14" s="93"/>
      <x:c r="K14" s="93"/>
    </x:row>
    <x:row r="15">
      <x:c r="A15" s="93"/>
      <x:c r="B15" s="138"/>
      <x:c r="C15" s="93"/>
      <x:c r="D15" s="93"/>
      <x:c r="E15" s="93"/>
      <x:c r="F15" s="93"/>
      <x:c r="G15" s="93"/>
      <x:c r="H15" s="138"/>
      <x:c r="I15" s="93"/>
      <x:c r="J15" s="93"/>
      <x:c r="K15" s="93"/>
    </x:row>
    <x:row r="16">
      <x:c r="A16" s="93"/>
      <x:c r="B16" s="138"/>
      <x:c r="C16" s="93"/>
      <x:c r="D16" s="93"/>
      <x:c r="E16" s="93"/>
      <x:c r="F16" s="93"/>
      <x:c r="G16" s="93"/>
      <x:c r="H16" s="138"/>
      <x:c r="I16" s="93"/>
      <x:c r="J16" s="93"/>
      <x:c r="K16" s="93"/>
    </x:row>
    <x:row r="17">
      <x:c r="A17" s="93"/>
      <x:c r="B17" s="138"/>
      <x:c r="C17" s="93"/>
      <x:c r="D17" s="93"/>
      <x:c r="E17" s="93"/>
      <x:c r="F17" s="93"/>
      <x:c r="G17" s="93"/>
      <x:c r="H17" s="138"/>
      <x:c r="I17" s="93"/>
      <x:c r="J17" s="93"/>
      <x:c r="K17" s="93"/>
    </x:row>
    <x:row r="18">
      <x:c r="A18" s="93"/>
      <x:c r="B18" s="138"/>
      <x:c r="C18" s="93"/>
      <x:c r="D18" s="93"/>
      <x:c r="E18" s="93"/>
      <x:c r="F18" s="93"/>
      <x:c r="G18" s="93"/>
      <x:c r="H18" s="138"/>
      <x:c r="I18" s="93"/>
      <x:c r="J18" s="93"/>
      <x:c r="K18" s="93"/>
    </x:row>
    <x:row r="19">
      <x:c r="A19" s="93"/>
      <x:c r="B19" s="138"/>
      <x:c r="C19" s="93"/>
      <x:c r="D19" s="93"/>
      <x:c r="E19" s="93"/>
      <x:c r="F19" s="93"/>
      <x:c r="G19" s="93"/>
      <x:c r="H19" s="138"/>
      <x:c r="I19" s="93"/>
      <x:c r="J19" s="93"/>
      <x:c r="K19" s="93"/>
    </x:row>
    <x:row r="20">
      <x:c r="A20" s="93"/>
      <x:c r="B20" s="138"/>
      <x:c r="C20" s="93"/>
      <x:c r="D20" s="93"/>
      <x:c r="E20" s="93"/>
      <x:c r="F20" s="93"/>
      <x:c r="G20" s="93"/>
      <x:c r="H20" s="138"/>
      <x:c r="I20" s="93"/>
      <x:c r="J20" s="93"/>
      <x:c r="K20" s="93"/>
    </x:row>
    <x:row r="21">
      <x:c r="A21" s="93"/>
      <x:c r="B21" s="138"/>
      <x:c r="C21" s="93"/>
      <x:c r="D21" s="93"/>
      <x:c r="E21" s="93"/>
      <x:c r="F21" s="93"/>
      <x:c r="G21" s="93"/>
      <x:c r="H21" s="138"/>
      <x:c r="I21" s="93"/>
      <x:c r="J21" s="93"/>
      <x:c r="K21" s="93"/>
    </x:row>
    <x:row r="22">
      <x:c r="A22" s="93"/>
      <x:c r="B22" s="138"/>
      <x:c r="C22" s="93"/>
      <x:c r="D22" s="93"/>
      <x:c r="E22" s="93"/>
      <x:c r="F22" s="93"/>
      <x:c r="G22" s="93"/>
      <x:c r="H22" s="138"/>
      <x:c r="I22" s="93"/>
      <x:c r="J22" s="93"/>
      <x:c r="K22" s="93"/>
    </x:row>
    <x:row r="23">
      <x:c r="A23" s="93"/>
      <x:c r="B23" s="138"/>
      <x:c r="C23" s="93"/>
      <x:c r="D23" s="93"/>
      <x:c r="E23" s="93"/>
      <x:c r="F23" s="93"/>
      <x:c r="G23" s="93"/>
      <x:c r="H23" s="138"/>
      <x:c r="I23" s="93"/>
      <x:c r="J23" s="93"/>
      <x:c r="K23" s="93"/>
    </x:row>
    <x:row r="24">
      <x:c r="A24" s="93"/>
      <x:c r="B24" s="138"/>
      <x:c r="C24" s="93"/>
      <x:c r="D24" s="93"/>
      <x:c r="E24" s="93"/>
      <x:c r="F24" s="93"/>
      <x:c r="G24" s="93"/>
      <x:c r="H24" s="138"/>
      <x:c r="I24" s="93"/>
      <x:c r="J24" s="93"/>
      <x:c r="K24" s="93"/>
    </x:row>
    <x:row r="25">
      <x:c r="A25" s="93"/>
      <x:c r="B25" s="138"/>
      <x:c r="C25" s="93"/>
      <x:c r="D25" s="93"/>
      <x:c r="E25" s="93"/>
      <x:c r="F25" s="93"/>
      <x:c r="G25" s="93"/>
      <x:c r="H25" s="138"/>
      <x:c r="I25" s="93"/>
      <x:c r="J25" s="93"/>
      <x:c r="K25" s="93"/>
    </x:row>
    <x:row r="26">
      <x:c r="A26" s="93"/>
      <x:c r="B26" s="138"/>
      <x:c r="C26" s="93"/>
      <x:c r="D26" s="93"/>
      <x:c r="E26" s="93"/>
      <x:c r="F26" s="93"/>
      <x:c r="G26" s="93"/>
      <x:c r="H26" s="138"/>
      <x:c r="I26" s="93"/>
      <x:c r="J26" s="93"/>
      <x:c r="K26" s="93"/>
    </x:row>
    <x:row r="27">
      <x:c r="A27" s="93"/>
      <x:c r="B27" s="138"/>
      <x:c r="C27" s="93"/>
      <x:c r="D27" s="93"/>
      <x:c r="E27" s="93"/>
      <x:c r="F27" s="93"/>
      <x:c r="G27" s="93"/>
      <x:c r="H27" s="138"/>
      <x:c r="I27" s="93"/>
      <x:c r="J27" s="93"/>
      <x:c r="K27" s="93"/>
    </x:row>
    <x:row r="28">
      <x:c r="A28" s="93"/>
      <x:c r="B28" s="138"/>
      <x:c r="C28" s="93"/>
      <x:c r="D28" s="93"/>
      <x:c r="E28" s="93"/>
      <x:c r="F28" s="93"/>
      <x:c r="G28" s="93"/>
      <x:c r="H28" s="138"/>
      <x:c r="I28" s="93"/>
      <x:c r="J28" s="93"/>
      <x:c r="K28" s="93"/>
    </x:row>
    <x:row r="29">
      <x:c r="A29" s="93"/>
      <x:c r="B29" s="138"/>
      <x:c r="C29" s="93"/>
      <x:c r="D29" s="93"/>
      <x:c r="E29" s="93"/>
      <x:c r="F29" s="93"/>
      <x:c r="G29" s="93"/>
      <x:c r="H29" s="138"/>
      <x:c r="I29" s="93"/>
      <x:c r="J29" s="93"/>
      <x:c r="K29" s="93"/>
    </x:row>
    <x:row r="30">
      <x:c r="A30" s="93"/>
      <x:c r="B30" s="138"/>
      <x:c r="C30" s="93"/>
      <x:c r="D30" s="93"/>
      <x:c r="E30" s="93"/>
      <x:c r="F30" s="93"/>
      <x:c r="G30" s="93"/>
      <x:c r="H30" s="138"/>
      <x:c r="I30" s="93"/>
      <x:c r="J30" s="93"/>
      <x:c r="K30" s="93"/>
    </x:row>
    <x:row r="31">
      <x:c r="A31" s="93"/>
      <x:c r="B31" s="138"/>
      <x:c r="C31" s="93"/>
      <x:c r="D31" s="93"/>
      <x:c r="E31" s="93"/>
      <x:c r="F31" s="93"/>
      <x:c r="G31" s="93"/>
      <x:c r="H31" s="138"/>
      <x:c r="I31" s="93"/>
      <x:c r="J31" s="93"/>
      <x:c r="K31" s="93"/>
    </x:row>
    <x:row r="32">
      <x:c r="A32" s="93"/>
      <x:c r="B32" s="138"/>
      <x:c r="C32" s="93"/>
      <x:c r="D32" s="93"/>
      <x:c r="E32" s="93"/>
      <x:c r="F32" s="93"/>
      <x:c r="G32" s="93"/>
      <x:c r="H32" s="138"/>
      <x:c r="I32" s="93"/>
      <x:c r="J32" s="93"/>
      <x:c r="K32" s="93"/>
    </x:row>
    <x:row r="33">
      <x:c r="A33" s="93"/>
      <x:c r="B33" s="138"/>
      <x:c r="C33" s="93"/>
      <x:c r="D33" s="93"/>
      <x:c r="E33" s="93"/>
      <x:c r="F33" s="93"/>
      <x:c r="G33" s="93"/>
      <x:c r="H33" s="138"/>
      <x:c r="I33" s="93"/>
      <x:c r="J33" s="93"/>
      <x:c r="K33" s="93"/>
    </x:row>
    <x:row r="34">
      <x:c r="A34" s="93"/>
      <x:c r="B34" s="138"/>
      <x:c r="C34" s="93"/>
      <x:c r="D34" s="93"/>
      <x:c r="E34" s="93"/>
      <x:c r="F34" s="93"/>
      <x:c r="G34" s="93"/>
      <x:c r="H34" s="138"/>
      <x:c r="I34" s="93"/>
      <x:c r="J34" s="93"/>
      <x:c r="K34" s="93"/>
    </x:row>
    <x:row r="35">
      <x:c r="A35" s="93"/>
      <x:c r="B35" s="138"/>
      <x:c r="C35" s="93"/>
      <x:c r="D35" s="93"/>
      <x:c r="E35" s="93"/>
      <x:c r="F35" s="93"/>
      <x:c r="G35" s="93"/>
      <x:c r="H35" s="138"/>
      <x:c r="I35" s="93"/>
      <x:c r="J35" s="93"/>
      <x:c r="K35" s="93"/>
    </x:row>
    <x:row r="36">
      <x:c r="A36" s="93"/>
      <x:c r="B36" s="138"/>
      <x:c r="C36" s="93"/>
      <x:c r="D36" s="93"/>
      <x:c r="E36" s="93"/>
      <x:c r="F36" s="93"/>
      <x:c r="G36" s="93"/>
      <x:c r="H36" s="138"/>
      <x:c r="I36" s="93"/>
      <x:c r="J36" s="93"/>
      <x:c r="K36" s="93"/>
    </x:row>
    <x:row r="37">
      <x:c r="A37" s="93"/>
      <x:c r="B37" s="138"/>
      <x:c r="C37" s="93"/>
      <x:c r="D37" s="93"/>
      <x:c r="E37" s="93"/>
      <x:c r="F37" s="93"/>
      <x:c r="G37" s="93"/>
      <x:c r="H37" s="138"/>
      <x:c r="I37" s="93"/>
      <x:c r="J37" s="93"/>
      <x:c r="K37" s="93"/>
    </x:row>
    <x:row r="38">
      <x:c r="A38" s="93"/>
      <x:c r="B38" s="138"/>
      <x:c r="C38" s="93"/>
      <x:c r="D38" s="93"/>
      <x:c r="E38" s="93"/>
      <x:c r="F38" s="93"/>
      <x:c r="G38" s="93"/>
      <x:c r="H38" s="138"/>
      <x:c r="I38" s="93"/>
      <x:c r="J38" s="93"/>
      <x:c r="K38" s="93"/>
    </x:row>
    <x:row r="39">
      <x:c r="A39" s="93"/>
      <x:c r="B39" s="138"/>
      <x:c r="C39" s="93"/>
      <x:c r="D39" s="93"/>
      <x:c r="E39" s="93"/>
      <x:c r="F39" s="93"/>
      <x:c r="G39" s="93"/>
      <x:c r="H39" s="138"/>
      <x:c r="I39" s="93"/>
      <x:c r="J39" s="93"/>
      <x:c r="K39" s="93"/>
    </x:row>
    <x:row r="40">
      <x:c r="A40" s="93"/>
      <x:c r="B40" s="138"/>
      <x:c r="C40" s="93"/>
      <x:c r="D40" s="93"/>
      <x:c r="E40" s="93"/>
      <x:c r="F40" s="93"/>
      <x:c r="G40" s="93"/>
      <x:c r="H40" s="138"/>
      <x:c r="I40" s="93"/>
      <x:c r="J40" s="93"/>
      <x:c r="K40" s="93"/>
    </x:row>
    <x:row r="41">
      <x:c r="A41" s="93"/>
      <x:c r="B41" s="138"/>
      <x:c r="C41" s="93"/>
      <x:c r="D41" s="93"/>
      <x:c r="E41" s="93"/>
      <x:c r="F41" s="93"/>
      <x:c r="G41" s="93"/>
      <x:c r="H41" s="138"/>
      <x:c r="I41" s="93"/>
      <x:c r="J41" s="93"/>
      <x:c r="K41" s="93"/>
    </x:row>
    <x:row r="42">
      <x:c r="A42" s="93"/>
      <x:c r="B42" s="138"/>
      <x:c r="C42" s="93"/>
      <x:c r="D42" s="93"/>
      <x:c r="E42" s="93"/>
      <x:c r="F42" s="93"/>
      <x:c r="G42" s="93"/>
      <x:c r="H42" s="138"/>
      <x:c r="I42" s="93"/>
      <x:c r="J42" s="93"/>
      <x:c r="K42" s="93"/>
    </x:row>
    <x:row r="43">
      <x:c r="A43" s="93"/>
      <x:c r="B43" s="138"/>
      <x:c r="C43" s="93"/>
      <x:c r="D43" s="93"/>
      <x:c r="E43" s="93"/>
      <x:c r="F43" s="93"/>
      <x:c r="G43" s="93"/>
      <x:c r="H43" s="138"/>
      <x:c r="I43" s="93"/>
      <x:c r="J43" s="93"/>
      <x:c r="K43" s="93"/>
    </x:row>
    <x:row r="44">
      <x:c r="A44" s="93"/>
      <x:c r="B44" s="138"/>
      <x:c r="C44" s="93"/>
      <x:c r="D44" s="93"/>
      <x:c r="E44" s="93"/>
      <x:c r="F44" s="93"/>
      <x:c r="G44" s="93"/>
      <x:c r="H44" s="138"/>
      <x:c r="I44" s="93"/>
      <x:c r="J44" s="93"/>
      <x:c r="K44" s="93"/>
    </x:row>
    <x:row r="45">
      <x:c r="A45" s="93"/>
      <x:c r="B45" s="138"/>
      <x:c r="C45" s="93"/>
      <x:c r="D45" s="93"/>
      <x:c r="E45" s="93"/>
      <x:c r="F45" s="93"/>
      <x:c r="G45" s="93"/>
      <x:c r="H45" s="138"/>
      <x:c r="I45" s="93"/>
      <x:c r="J45" s="93"/>
      <x:c r="K45" s="93"/>
    </x:row>
    <x:row r="46">
      <x:c r="A46" s="93"/>
      <x:c r="B46" s="138"/>
      <x:c r="C46" s="93"/>
      <x:c r="D46" s="93"/>
      <x:c r="E46" s="93"/>
      <x:c r="F46" s="93"/>
      <x:c r="G46" s="93"/>
      <x:c r="H46" s="138"/>
      <x:c r="I46" s="93"/>
      <x:c r="J46" s="93"/>
      <x:c r="K46" s="93"/>
    </x:row>
    <x:row r="47">
      <x:c r="A47" s="93"/>
      <x:c r="B47" s="138"/>
      <x:c r="C47" s="93"/>
      <x:c r="D47" s="93"/>
      <x:c r="E47" s="93"/>
      <x:c r="F47" s="93"/>
      <x:c r="G47" s="93"/>
      <x:c r="H47" s="138"/>
      <x:c r="I47" s="93"/>
      <x:c r="J47" s="93"/>
      <x:c r="K47" s="93"/>
    </x:row>
    <x:row r="48">
      <x:c r="A48" s="93"/>
      <x:c r="B48" s="138"/>
      <x:c r="C48" s="93"/>
      <x:c r="D48" s="93"/>
      <x:c r="E48" s="93"/>
      <x:c r="F48" s="93"/>
      <x:c r="G48" s="93"/>
      <x:c r="H48" s="138"/>
      <x:c r="I48" s="93"/>
      <x:c r="J48" s="93"/>
      <x:c r="K48" s="93"/>
    </x:row>
    <x:row r="49">
      <x:c r="A49" s="93"/>
      <x:c r="B49" s="138"/>
      <x:c r="C49" s="93"/>
      <x:c r="D49" s="93"/>
      <x:c r="E49" s="93"/>
      <x:c r="F49" s="93"/>
      <x:c r="G49" s="93"/>
      <x:c r="H49" s="138"/>
      <x:c r="I49" s="93"/>
      <x:c r="J49" s="93"/>
      <x:c r="K49" s="93"/>
    </x:row>
    <x:row r="50">
      <x:c r="A50" s="93"/>
      <x:c r="B50" s="138"/>
      <x:c r="C50" s="93"/>
      <x:c r="D50" s="93"/>
      <x:c r="E50" s="93"/>
      <x:c r="F50" s="93"/>
      <x:c r="G50" s="93"/>
      <x:c r="H50" s="138"/>
      <x:c r="I50" s="93"/>
      <x:c r="J50" s="93"/>
      <x:c r="K50" s="93"/>
    </x:row>
    <x:row r="51">
      <x:c r="A51" s="93"/>
      <x:c r="B51" s="138"/>
      <x:c r="C51" s="93"/>
      <x:c r="D51" s="93"/>
      <x:c r="E51" s="93"/>
      <x:c r="F51" s="93"/>
      <x:c r="G51" s="93"/>
      <x:c r="H51" s="138"/>
      <x:c r="I51" s="93"/>
      <x:c r="J51" s="93"/>
      <x:c r="K51" s="93"/>
    </x:row>
    <x:row r="52">
      <x:c r="A52" s="93"/>
      <x:c r="B52" s="138"/>
      <x:c r="C52" s="93"/>
      <x:c r="D52" s="93"/>
      <x:c r="E52" s="93"/>
      <x:c r="F52" s="93"/>
      <x:c r="G52" s="93"/>
      <x:c r="H52" s="138"/>
      <x:c r="I52" s="93"/>
      <x:c r="J52" s="93"/>
      <x:c r="K52" s="93"/>
    </x:row>
    <x:row r="53">
      <x:c r="A53" s="93"/>
      <x:c r="B53" s="138"/>
      <x:c r="C53" s="93"/>
      <x:c r="D53" s="93"/>
      <x:c r="E53" s="93"/>
      <x:c r="F53" s="93"/>
      <x:c r="G53" s="93"/>
      <x:c r="H53" s="138"/>
      <x:c r="I53" s="93"/>
      <x:c r="J53" s="93"/>
      <x:c r="K53" s="93"/>
    </x:row>
    <x:row r="54">
      <x:c r="A54" s="93"/>
      <x:c r="B54" s="138"/>
      <x:c r="C54" s="93"/>
      <x:c r="D54" s="93"/>
      <x:c r="E54" s="93"/>
      <x:c r="F54" s="93"/>
      <x:c r="G54" s="93"/>
      <x:c r="H54" s="138"/>
      <x:c r="I54" s="93"/>
      <x:c r="J54" s="93"/>
      <x:c r="K54" s="93"/>
    </x:row>
    <x:row r="55">
      <x:c r="A55" s="93"/>
      <x:c r="B55" s="138"/>
      <x:c r="C55" s="93"/>
      <x:c r="D55" s="93"/>
      <x:c r="E55" s="93"/>
      <x:c r="F55" s="93"/>
      <x:c r="G55" s="93"/>
      <x:c r="H55" s="138"/>
      <x:c r="I55" s="93"/>
      <x:c r="J55" s="93"/>
      <x:c r="K55" s="93"/>
    </x:row>
    <x:row r="56">
      <x:c r="A56" s="93"/>
      <x:c r="B56" s="138"/>
      <x:c r="C56" s="93"/>
      <x:c r="D56" s="93"/>
      <x:c r="E56" s="93"/>
      <x:c r="F56" s="93"/>
      <x:c r="G56" s="93"/>
      <x:c r="H56" s="138"/>
      <x:c r="I56" s="93"/>
      <x:c r="J56" s="93"/>
      <x:c r="K56" s="93"/>
    </x:row>
    <x:row r="57">
      <x:c r="A57" s="93"/>
      <x:c r="B57" s="138"/>
      <x:c r="C57" s="93"/>
      <x:c r="D57" s="93"/>
      <x:c r="E57" s="93"/>
      <x:c r="F57" s="93"/>
      <x:c r="G57" s="93"/>
      <x:c r="H57" s="138"/>
      <x:c r="I57" s="93"/>
      <x:c r="J57" s="93"/>
      <x:c r="K57" s="93"/>
    </x:row>
    <x:row r="58">
      <x:c r="A58" s="93"/>
      <x:c r="B58" s="138"/>
      <x:c r="C58" s="93"/>
      <x:c r="D58" s="93"/>
      <x:c r="E58" s="93"/>
      <x:c r="F58" s="93"/>
      <x:c r="G58" s="93"/>
      <x:c r="H58" s="138"/>
      <x:c r="I58" s="93"/>
      <x:c r="J58" s="93"/>
      <x:c r="K58" s="93"/>
    </x:row>
    <x:row r="59">
      <x:c r="A59" s="93"/>
      <x:c r="B59" s="138"/>
      <x:c r="C59" s="93"/>
      <x:c r="D59" s="93"/>
      <x:c r="E59" s="93"/>
      <x:c r="F59" s="93"/>
      <x:c r="G59" s="93"/>
      <x:c r="H59" s="138"/>
      <x:c r="I59" s="93"/>
      <x:c r="J59" s="93"/>
      <x:c r="K59" s="93"/>
    </x:row>
    <x:row r="60">
      <x:c r="A60" s="93"/>
      <x:c r="B60" s="138"/>
      <x:c r="C60" s="93"/>
      <x:c r="D60" s="93"/>
      <x:c r="E60" s="93"/>
      <x:c r="F60" s="93"/>
      <x:c r="G60" s="93"/>
      <x:c r="H60" s="138"/>
      <x:c r="I60" s="93"/>
      <x:c r="J60" s="93"/>
      <x:c r="K60" s="93"/>
    </x:row>
  </x:sheetData>
  <x:conditionalFormatting sqref="F2:F60">
    <x:cfRule type="containsText" dxfId="13" priority="1" operator="containsText" text="待追问"/>
    <x:cfRule type="containsText" dxfId="14" priority="2" operator="containsText" text="待确认"/>
    <x:cfRule type="containsText" dxfId="15" priority="3" operator="containsText" text="有争议"/>
    <x:cfRule type="containsText" dxfId="16" priority="4" operator="containsText" text="已关闭"/>
    <x:cfRule type="containsText" dxfId="17" priority="5" operator="containsText" text="施工中"/>
  </x:conditionalFormatting>
  <x:dataValidations count="1">
    <x:dataValidation type="list" showInputMessage="1" promptTitle="可选值" prompt="待处理 / 处理中 / 待验收 / 已关闭 / 有争议" sqref="F2:F60">
      <x:formula1>"待处理,处理中,待验收,已关闭,有争议"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fab87f2ca24b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0.5600004196167" hidden="0" customWidth="1"/>
    <x:col min="3" max="3" width="11.109999656677246" hidden="0" customWidth="1"/>
    <x:col min="4" max="4" width="26.670000076293945" hidden="0" customWidth="1"/>
    <x:col min="5" max="5" width="2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28.889999389648438" hidden="0" customWidth="1"/>
    <x:col min="12" max="12" width="20" hidden="0" customWidth="1"/>
  </x:cols>
  <x:sheetData>
    <x:row r="1">
      <x:c r="A1" s="130" t="str">
        <x:v>ID</x:v>
      </x:c>
      <x:c r="B1" s="131" t="str">
        <x:v>提出日期</x:v>
      </x:c>
      <x:c r="C1" s="131" t="str">
        <x:v>阶段</x:v>
      </x:c>
      <x:c r="D1" s="131" t="str">
        <x:v>变更事项</x:v>
      </x:c>
      <x:c r="E1" s="131" t="str">
        <x:v>原因</x:v>
      </x:c>
      <x:c r="F1" s="131" t="str">
        <x:v>报价金额</x:v>
      </x:c>
      <x:c r="G1" s="131" t="str">
        <x:v>最终金额</x:v>
      </x:c>
      <x:c r="H1" s="131" t="str">
        <x:v>报价状态</x:v>
      </x:c>
      <x:c r="I1" s="131" t="str">
        <x:v>签字状态</x:v>
      </x:c>
      <x:c r="J1" s="131" t="str">
        <x:v>结算状态</x:v>
      </x:c>
      <x:c r="K1" s="131" t="str">
        <x:v>备注</x:v>
      </x:c>
      <x:c r="L1" s="132" t="str">
        <x:v>证据链接</x:v>
      </x:c>
    </x:row>
    <x:row r="2">
      <x:c r="A2" s="107" t="str">
        <x:v>CO-001</x:v>
      </x:c>
      <x:c r="B2" s="133" t="str"/>
      <x:c r="C2" s="108" t="str">
        <x:v>预算确认</x:v>
      </x:c>
      <x:c r="D2" s="108" t="str">
        <x:v>厨房防水是否补项</x:v>
      </x:c>
      <x:c r="E2" s="108" t="str">
        <x:v>待报价</x:v>
      </x:c>
      <x:c r="F2" s="109"/>
      <x:c r="G2" s="109"/>
      <x:c r="H2" s="108" t="str">
        <x:v>未提交</x:v>
      </x:c>
      <x:c r="I2" s="108" t="str">
        <x:v>未签字</x:v>
      </x:c>
      <x:c r="J2" s="108" t="str">
        <x:v>待定</x:v>
      </x:c>
      <x:c r="K2" s="108" t="str">
        <x:v>若公司坚持不做，需写责任边界</x:v>
      </x:c>
      <x:c r="L2" s="110" t="str"/>
    </x:row>
    <x:row r="3">
      <x:c r="A3" s="111" t="str">
        <x:v>CO-002</x:v>
      </x:c>
      <x:c r="B3" s="134" t="str"/>
      <x:c r="C3" s="113" t="str">
        <x:v>主材选型</x:v>
      </x:c>
      <x:c r="D3" s="113" t="str">
        <x:v>主材超预算补差</x:v>
      </x:c>
      <x:c r="E3" s="113" t="str">
        <x:v>待选型</x:v>
      </x:c>
      <x:c r="F3" s="112"/>
      <x:c r="G3" s="112"/>
      <x:c r="H3" s="113" t="str">
        <x:v>未提交</x:v>
      </x:c>
      <x:c r="I3" s="113" t="str">
        <x:v>未签字</x:v>
      </x:c>
      <x:c r="J3" s="113" t="str">
        <x:v>待定</x:v>
      </x:c>
      <x:c r="K3" s="113" t="str">
        <x:v>每项只补差价还是重算需明确</x:v>
      </x:c>
      <x:c r="L3" s="114" t="str"/>
    </x:row>
    <x:row r="4">
      <x:c r="A4" s="93"/>
      <x:c r="B4" s="138"/>
      <x:c r="C4" s="93"/>
      <x:c r="D4" s="93"/>
      <x:c r="E4" s="93"/>
      <x:c r="F4" s="137"/>
      <x:c r="G4" s="137"/>
      <x:c r="H4" s="93"/>
      <x:c r="I4" s="93"/>
      <x:c r="J4" s="93"/>
      <x:c r="K4" s="93"/>
      <x:c r="L4" s="93"/>
    </x:row>
    <x:row r="5">
      <x:c r="A5" s="93"/>
      <x:c r="B5" s="138"/>
      <x:c r="C5" s="93"/>
      <x:c r="D5" s="93"/>
      <x:c r="E5" s="93"/>
      <x:c r="F5" s="137"/>
      <x:c r="G5" s="137"/>
      <x:c r="H5" s="93"/>
      <x:c r="I5" s="93"/>
      <x:c r="J5" s="93"/>
      <x:c r="K5" s="93"/>
      <x:c r="L5" s="93"/>
    </x:row>
    <x:row r="6">
      <x:c r="A6" s="93"/>
      <x:c r="B6" s="138"/>
      <x:c r="C6" s="93"/>
      <x:c r="D6" s="93"/>
      <x:c r="E6" s="93"/>
      <x:c r="F6" s="137"/>
      <x:c r="G6" s="137"/>
      <x:c r="H6" s="93"/>
      <x:c r="I6" s="93"/>
      <x:c r="J6" s="93"/>
      <x:c r="K6" s="93"/>
      <x:c r="L6" s="93"/>
    </x:row>
    <x:row r="7">
      <x:c r="A7" s="93"/>
      <x:c r="B7" s="138"/>
      <x:c r="C7" s="93"/>
      <x:c r="D7" s="93"/>
      <x:c r="E7" s="93"/>
      <x:c r="F7" s="137"/>
      <x:c r="G7" s="137"/>
      <x:c r="H7" s="93"/>
      <x:c r="I7" s="93"/>
      <x:c r="J7" s="93"/>
      <x:c r="K7" s="93"/>
      <x:c r="L7" s="93"/>
    </x:row>
    <x:row r="8">
      <x:c r="A8" s="93"/>
      <x:c r="B8" s="138"/>
      <x:c r="C8" s="93"/>
      <x:c r="D8" s="93"/>
      <x:c r="E8" s="93"/>
      <x:c r="F8" s="137"/>
      <x:c r="G8" s="137"/>
      <x:c r="H8" s="93"/>
      <x:c r="I8" s="93"/>
      <x:c r="J8" s="93"/>
      <x:c r="K8" s="93"/>
      <x:c r="L8" s="93"/>
    </x:row>
    <x:row r="9">
      <x:c r="A9" s="93"/>
      <x:c r="B9" s="138"/>
      <x:c r="C9" s="93"/>
      <x:c r="D9" s="93"/>
      <x:c r="E9" s="93"/>
      <x:c r="F9" s="137"/>
      <x:c r="G9" s="137"/>
      <x:c r="H9" s="93"/>
      <x:c r="I9" s="93"/>
      <x:c r="J9" s="93"/>
      <x:c r="K9" s="93"/>
      <x:c r="L9" s="93"/>
    </x:row>
    <x:row r="10">
      <x:c r="A10" s="93"/>
      <x:c r="B10" s="138"/>
      <x:c r="C10" s="93"/>
      <x:c r="D10" s="93"/>
      <x:c r="E10" s="93"/>
      <x:c r="F10" s="137"/>
      <x:c r="G10" s="137"/>
      <x:c r="H10" s="93"/>
      <x:c r="I10" s="93"/>
      <x:c r="J10" s="93"/>
      <x:c r="K10" s="93"/>
      <x:c r="L10" s="93"/>
    </x:row>
    <x:row r="11">
      <x:c r="A11" s="93"/>
      <x:c r="B11" s="138"/>
      <x:c r="C11" s="93"/>
      <x:c r="D11" s="93"/>
      <x:c r="E11" s="93"/>
      <x:c r="F11" s="137"/>
      <x:c r="G11" s="137"/>
      <x:c r="H11" s="93"/>
      <x:c r="I11" s="93"/>
      <x:c r="J11" s="93"/>
      <x:c r="K11" s="93"/>
      <x:c r="L11" s="93"/>
    </x:row>
    <x:row r="12">
      <x:c r="A12" s="93"/>
      <x:c r="B12" s="138"/>
      <x:c r="C12" s="93"/>
      <x:c r="D12" s="93"/>
      <x:c r="E12" s="93"/>
      <x:c r="F12" s="137"/>
      <x:c r="G12" s="137"/>
      <x:c r="H12" s="93"/>
      <x:c r="I12" s="93"/>
      <x:c r="J12" s="93"/>
      <x:c r="K12" s="93"/>
      <x:c r="L12" s="93"/>
    </x:row>
    <x:row r="13">
      <x:c r="A13" s="93"/>
      <x:c r="B13" s="138"/>
      <x:c r="C13" s="93"/>
      <x:c r="D13" s="93"/>
      <x:c r="E13" s="93"/>
      <x:c r="F13" s="137"/>
      <x:c r="G13" s="137"/>
      <x:c r="H13" s="93"/>
      <x:c r="I13" s="93"/>
      <x:c r="J13" s="93"/>
      <x:c r="K13" s="93"/>
      <x:c r="L13" s="93"/>
    </x:row>
    <x:row r="14">
      <x:c r="A14" s="93"/>
      <x:c r="B14" s="138"/>
      <x:c r="C14" s="93"/>
      <x:c r="D14" s="93"/>
      <x:c r="E14" s="93"/>
      <x:c r="F14" s="137"/>
      <x:c r="G14" s="137"/>
      <x:c r="H14" s="93"/>
      <x:c r="I14" s="93"/>
      <x:c r="J14" s="93"/>
      <x:c r="K14" s="93"/>
      <x:c r="L14" s="93"/>
    </x:row>
    <x:row r="15">
      <x:c r="A15" s="93"/>
      <x:c r="B15" s="138"/>
      <x:c r="C15" s="93"/>
      <x:c r="D15" s="93"/>
      <x:c r="E15" s="93"/>
      <x:c r="F15" s="137"/>
      <x:c r="G15" s="137"/>
      <x:c r="H15" s="93"/>
      <x:c r="I15" s="93"/>
      <x:c r="J15" s="93"/>
      <x:c r="K15" s="93"/>
      <x:c r="L15" s="93"/>
    </x:row>
    <x:row r="16">
      <x:c r="A16" s="93"/>
      <x:c r="B16" s="138"/>
      <x:c r="C16" s="93"/>
      <x:c r="D16" s="93"/>
      <x:c r="E16" s="93"/>
      <x:c r="F16" s="137"/>
      <x:c r="G16" s="137"/>
      <x:c r="H16" s="93"/>
      <x:c r="I16" s="93"/>
      <x:c r="J16" s="93"/>
      <x:c r="K16" s="93"/>
      <x:c r="L16" s="93"/>
    </x:row>
    <x:row r="17">
      <x:c r="A17" s="93"/>
      <x:c r="B17" s="138"/>
      <x:c r="C17" s="93"/>
      <x:c r="D17" s="93"/>
      <x:c r="E17" s="93"/>
      <x:c r="F17" s="137"/>
      <x:c r="G17" s="137"/>
      <x:c r="H17" s="93"/>
      <x:c r="I17" s="93"/>
      <x:c r="J17" s="93"/>
      <x:c r="K17" s="93"/>
      <x:c r="L17" s="93"/>
    </x:row>
    <x:row r="18">
      <x:c r="A18" s="93"/>
      <x:c r="B18" s="138"/>
      <x:c r="C18" s="93"/>
      <x:c r="D18" s="93"/>
      <x:c r="E18" s="93"/>
      <x:c r="F18" s="137"/>
      <x:c r="G18" s="137"/>
      <x:c r="H18" s="93"/>
      <x:c r="I18" s="93"/>
      <x:c r="J18" s="93"/>
      <x:c r="K18" s="93"/>
      <x:c r="L18" s="93"/>
    </x:row>
    <x:row r="19">
      <x:c r="A19" s="93"/>
      <x:c r="B19" s="138"/>
      <x:c r="C19" s="93"/>
      <x:c r="D19" s="93"/>
      <x:c r="E19" s="93"/>
      <x:c r="F19" s="137"/>
      <x:c r="G19" s="137"/>
      <x:c r="H19" s="93"/>
      <x:c r="I19" s="93"/>
      <x:c r="J19" s="93"/>
      <x:c r="K19" s="93"/>
      <x:c r="L19" s="93"/>
    </x:row>
    <x:row r="20">
      <x:c r="A20" s="93"/>
      <x:c r="B20" s="138"/>
      <x:c r="C20" s="93"/>
      <x:c r="D20" s="93"/>
      <x:c r="E20" s="93"/>
      <x:c r="F20" s="137"/>
      <x:c r="G20" s="137"/>
      <x:c r="H20" s="93"/>
      <x:c r="I20" s="93"/>
      <x:c r="J20" s="93"/>
      <x:c r="K20" s="93"/>
      <x:c r="L20" s="93"/>
    </x:row>
    <x:row r="21">
      <x:c r="A21" s="93"/>
      <x:c r="B21" s="138"/>
      <x:c r="C21" s="93"/>
      <x:c r="D21" s="93"/>
      <x:c r="E21" s="93"/>
      <x:c r="F21" s="137"/>
      <x:c r="G21" s="137"/>
      <x:c r="H21" s="93"/>
      <x:c r="I21" s="93"/>
      <x:c r="J21" s="93"/>
      <x:c r="K21" s="93"/>
      <x:c r="L21" s="93"/>
    </x:row>
    <x:row r="22">
      <x:c r="A22" s="93"/>
      <x:c r="B22" s="138"/>
      <x:c r="C22" s="93"/>
      <x:c r="D22" s="93"/>
      <x:c r="E22" s="93"/>
      <x:c r="F22" s="137"/>
      <x:c r="G22" s="137"/>
      <x:c r="H22" s="93"/>
      <x:c r="I22" s="93"/>
      <x:c r="J22" s="93"/>
      <x:c r="K22" s="93"/>
      <x:c r="L22" s="93"/>
    </x:row>
    <x:row r="23">
      <x:c r="A23" s="93"/>
      <x:c r="B23" s="138"/>
      <x:c r="C23" s="93"/>
      <x:c r="D23" s="93"/>
      <x:c r="E23" s="93"/>
      <x:c r="F23" s="137"/>
      <x:c r="G23" s="137"/>
      <x:c r="H23" s="93"/>
      <x:c r="I23" s="93"/>
      <x:c r="J23" s="93"/>
      <x:c r="K23" s="93"/>
      <x:c r="L23" s="93"/>
    </x:row>
    <x:row r="24">
      <x:c r="A24" s="93"/>
      <x:c r="B24" s="138"/>
      <x:c r="C24" s="93"/>
      <x:c r="D24" s="93"/>
      <x:c r="E24" s="93"/>
      <x:c r="F24" s="137"/>
      <x:c r="G24" s="137"/>
      <x:c r="H24" s="93"/>
      <x:c r="I24" s="93"/>
      <x:c r="J24" s="93"/>
      <x:c r="K24" s="93"/>
      <x:c r="L24" s="93"/>
    </x:row>
    <x:row r="25">
      <x:c r="A25" s="93"/>
      <x:c r="B25" s="138"/>
      <x:c r="C25" s="93"/>
      <x:c r="D25" s="93"/>
      <x:c r="E25" s="93"/>
      <x:c r="F25" s="137"/>
      <x:c r="G25" s="137"/>
      <x:c r="H25" s="93"/>
      <x:c r="I25" s="93"/>
      <x:c r="J25" s="93"/>
      <x:c r="K25" s="93"/>
      <x:c r="L25" s="93"/>
    </x:row>
    <x:row r="26">
      <x:c r="A26" s="93"/>
      <x:c r="B26" s="138"/>
      <x:c r="C26" s="93"/>
      <x:c r="D26" s="93"/>
      <x:c r="E26" s="93"/>
      <x:c r="F26" s="137"/>
      <x:c r="G26" s="137"/>
      <x:c r="H26" s="93"/>
      <x:c r="I26" s="93"/>
      <x:c r="J26" s="93"/>
      <x:c r="K26" s="93"/>
      <x:c r="L26" s="93"/>
    </x:row>
    <x:row r="27">
      <x:c r="A27" s="93"/>
      <x:c r="B27" s="138"/>
      <x:c r="C27" s="93"/>
      <x:c r="D27" s="93"/>
      <x:c r="E27" s="93"/>
      <x:c r="F27" s="137"/>
      <x:c r="G27" s="137"/>
      <x:c r="H27" s="93"/>
      <x:c r="I27" s="93"/>
      <x:c r="J27" s="93"/>
      <x:c r="K27" s="93"/>
      <x:c r="L27" s="93"/>
    </x:row>
    <x:row r="28">
      <x:c r="A28" s="93"/>
      <x:c r="B28" s="138"/>
      <x:c r="C28" s="93"/>
      <x:c r="D28" s="93"/>
      <x:c r="E28" s="93"/>
      <x:c r="F28" s="137"/>
      <x:c r="G28" s="137"/>
      <x:c r="H28" s="93"/>
      <x:c r="I28" s="93"/>
      <x:c r="J28" s="93"/>
      <x:c r="K28" s="93"/>
      <x:c r="L28" s="93"/>
    </x:row>
    <x:row r="29">
      <x:c r="A29" s="93"/>
      <x:c r="B29" s="138"/>
      <x:c r="C29" s="93"/>
      <x:c r="D29" s="93"/>
      <x:c r="E29" s="93"/>
      <x:c r="F29" s="137"/>
      <x:c r="G29" s="137"/>
      <x:c r="H29" s="93"/>
      <x:c r="I29" s="93"/>
      <x:c r="J29" s="93"/>
      <x:c r="K29" s="93"/>
      <x:c r="L29" s="93"/>
    </x:row>
    <x:row r="30">
      <x:c r="A30" s="93"/>
      <x:c r="B30" s="138"/>
      <x:c r="C30" s="93"/>
      <x:c r="D30" s="93"/>
      <x:c r="E30" s="93"/>
      <x:c r="F30" s="137"/>
      <x:c r="G30" s="137"/>
      <x:c r="H30" s="93"/>
      <x:c r="I30" s="93"/>
      <x:c r="J30" s="93"/>
      <x:c r="K30" s="93"/>
      <x:c r="L30" s="93"/>
    </x:row>
    <x:row r="31">
      <x:c r="A31" s="93"/>
      <x:c r="B31" s="138"/>
      <x:c r="C31" s="93"/>
      <x:c r="D31" s="93"/>
      <x:c r="E31" s="93"/>
      <x:c r="F31" s="137"/>
      <x:c r="G31" s="137"/>
      <x:c r="H31" s="93"/>
      <x:c r="I31" s="93"/>
      <x:c r="J31" s="93"/>
      <x:c r="K31" s="93"/>
      <x:c r="L31" s="93"/>
    </x:row>
    <x:row r="32">
      <x:c r="A32" s="93"/>
      <x:c r="B32" s="138"/>
      <x:c r="C32" s="93"/>
      <x:c r="D32" s="93"/>
      <x:c r="E32" s="93"/>
      <x:c r="F32" s="137"/>
      <x:c r="G32" s="137"/>
      <x:c r="H32" s="93"/>
      <x:c r="I32" s="93"/>
      <x:c r="J32" s="93"/>
      <x:c r="K32" s="93"/>
      <x:c r="L32" s="93"/>
    </x:row>
    <x:row r="33">
      <x:c r="A33" s="93"/>
      <x:c r="B33" s="138"/>
      <x:c r="C33" s="93"/>
      <x:c r="D33" s="93"/>
      <x:c r="E33" s="93"/>
      <x:c r="F33" s="137"/>
      <x:c r="G33" s="137"/>
      <x:c r="H33" s="93"/>
      <x:c r="I33" s="93"/>
      <x:c r="J33" s="93"/>
      <x:c r="K33" s="93"/>
      <x:c r="L33" s="93"/>
    </x:row>
    <x:row r="34">
      <x:c r="A34" s="93"/>
      <x:c r="B34" s="138"/>
      <x:c r="C34" s="93"/>
      <x:c r="D34" s="93"/>
      <x:c r="E34" s="93"/>
      <x:c r="F34" s="137"/>
      <x:c r="G34" s="137"/>
      <x:c r="H34" s="93"/>
      <x:c r="I34" s="93"/>
      <x:c r="J34" s="93"/>
      <x:c r="K34" s="93"/>
      <x:c r="L34" s="93"/>
    </x:row>
    <x:row r="35">
      <x:c r="A35" s="93"/>
      <x:c r="B35" s="138"/>
      <x:c r="C35" s="93"/>
      <x:c r="D35" s="93"/>
      <x:c r="E35" s="93"/>
      <x:c r="F35" s="137"/>
      <x:c r="G35" s="137"/>
      <x:c r="H35" s="93"/>
      <x:c r="I35" s="93"/>
      <x:c r="J35" s="93"/>
      <x:c r="K35" s="93"/>
      <x:c r="L35" s="93"/>
    </x:row>
    <x:row r="36">
      <x:c r="A36" s="93"/>
      <x:c r="B36" s="138"/>
      <x:c r="C36" s="93"/>
      <x:c r="D36" s="93"/>
      <x:c r="E36" s="93"/>
      <x:c r="F36" s="137"/>
      <x:c r="G36" s="137"/>
      <x:c r="H36" s="93"/>
      <x:c r="I36" s="93"/>
      <x:c r="J36" s="93"/>
      <x:c r="K36" s="93"/>
      <x:c r="L36" s="93"/>
    </x:row>
    <x:row r="37">
      <x:c r="A37" s="93"/>
      <x:c r="B37" s="138"/>
      <x:c r="C37" s="93"/>
      <x:c r="D37" s="93"/>
      <x:c r="E37" s="93"/>
      <x:c r="F37" s="137"/>
      <x:c r="G37" s="137"/>
      <x:c r="H37" s="93"/>
      <x:c r="I37" s="93"/>
      <x:c r="J37" s="93"/>
      <x:c r="K37" s="93"/>
      <x:c r="L37" s="93"/>
    </x:row>
    <x:row r="38">
      <x:c r="A38" s="93"/>
      <x:c r="B38" s="138"/>
      <x:c r="C38" s="93"/>
      <x:c r="D38" s="93"/>
      <x:c r="E38" s="93"/>
      <x:c r="F38" s="137"/>
      <x:c r="G38" s="137"/>
      <x:c r="H38" s="93"/>
      <x:c r="I38" s="93"/>
      <x:c r="J38" s="93"/>
      <x:c r="K38" s="93"/>
      <x:c r="L38" s="93"/>
    </x:row>
    <x:row r="39">
      <x:c r="A39" s="93"/>
      <x:c r="B39" s="138"/>
      <x:c r="C39" s="93"/>
      <x:c r="D39" s="93"/>
      <x:c r="E39" s="93"/>
      <x:c r="F39" s="137"/>
      <x:c r="G39" s="137"/>
      <x:c r="H39" s="93"/>
      <x:c r="I39" s="93"/>
      <x:c r="J39" s="93"/>
      <x:c r="K39" s="93"/>
      <x:c r="L39" s="93"/>
    </x:row>
    <x:row r="40">
      <x:c r="A40" s="93"/>
      <x:c r="B40" s="138"/>
      <x:c r="C40" s="93"/>
      <x:c r="D40" s="93"/>
      <x:c r="E40" s="93"/>
      <x:c r="F40" s="137"/>
      <x:c r="G40" s="137"/>
      <x:c r="H40" s="93"/>
      <x:c r="I40" s="93"/>
      <x:c r="J40" s="93"/>
      <x:c r="K40" s="93"/>
      <x:c r="L40" s="93"/>
    </x:row>
    <x:row r="41">
      <x:c r="A41" s="93"/>
      <x:c r="B41" s="138"/>
      <x:c r="C41" s="93"/>
      <x:c r="D41" s="93"/>
      <x:c r="E41" s="93"/>
      <x:c r="F41" s="137"/>
      <x:c r="G41" s="137"/>
      <x:c r="H41" s="93"/>
      <x:c r="I41" s="93"/>
      <x:c r="J41" s="93"/>
      <x:c r="K41" s="93"/>
      <x:c r="L41" s="93"/>
    </x:row>
    <x:row r="42">
      <x:c r="A42" s="93"/>
      <x:c r="B42" s="138"/>
      <x:c r="C42" s="93"/>
      <x:c r="D42" s="93"/>
      <x:c r="E42" s="93"/>
      <x:c r="F42" s="137"/>
      <x:c r="G42" s="137"/>
      <x:c r="H42" s="93"/>
      <x:c r="I42" s="93"/>
      <x:c r="J42" s="93"/>
      <x:c r="K42" s="93"/>
      <x:c r="L42" s="93"/>
    </x:row>
    <x:row r="43">
      <x:c r="A43" s="93"/>
      <x:c r="B43" s="138"/>
      <x:c r="C43" s="93"/>
      <x:c r="D43" s="93"/>
      <x:c r="E43" s="93"/>
      <x:c r="F43" s="137"/>
      <x:c r="G43" s="137"/>
      <x:c r="H43" s="93"/>
      <x:c r="I43" s="93"/>
      <x:c r="J43" s="93"/>
      <x:c r="K43" s="93"/>
      <x:c r="L43" s="93"/>
    </x:row>
    <x:row r="44">
      <x:c r="A44" s="93"/>
      <x:c r="B44" s="138"/>
      <x:c r="C44" s="93"/>
      <x:c r="D44" s="93"/>
      <x:c r="E44" s="93"/>
      <x:c r="F44" s="137"/>
      <x:c r="G44" s="137"/>
      <x:c r="H44" s="93"/>
      <x:c r="I44" s="93"/>
      <x:c r="J44" s="93"/>
      <x:c r="K44" s="93"/>
      <x:c r="L44" s="93"/>
    </x:row>
    <x:row r="45">
      <x:c r="A45" s="93"/>
      <x:c r="B45" s="138"/>
      <x:c r="C45" s="93"/>
      <x:c r="D45" s="93"/>
      <x:c r="E45" s="93"/>
      <x:c r="F45" s="137"/>
      <x:c r="G45" s="137"/>
      <x:c r="H45" s="93"/>
      <x:c r="I45" s="93"/>
      <x:c r="J45" s="93"/>
      <x:c r="K45" s="93"/>
      <x:c r="L45" s="93"/>
    </x:row>
    <x:row r="46">
      <x:c r="A46" s="93"/>
      <x:c r="B46" s="138"/>
      <x:c r="C46" s="93"/>
      <x:c r="D46" s="93"/>
      <x:c r="E46" s="93"/>
      <x:c r="F46" s="137"/>
      <x:c r="G46" s="137"/>
      <x:c r="H46" s="93"/>
      <x:c r="I46" s="93"/>
      <x:c r="J46" s="93"/>
      <x:c r="K46" s="93"/>
      <x:c r="L46" s="93"/>
    </x:row>
    <x:row r="47">
      <x:c r="A47" s="93"/>
      <x:c r="B47" s="138"/>
      <x:c r="C47" s="93"/>
      <x:c r="D47" s="93"/>
      <x:c r="E47" s="93"/>
      <x:c r="F47" s="137"/>
      <x:c r="G47" s="137"/>
      <x:c r="H47" s="93"/>
      <x:c r="I47" s="93"/>
      <x:c r="J47" s="93"/>
      <x:c r="K47" s="93"/>
      <x:c r="L47" s="93"/>
    </x:row>
    <x:row r="48">
      <x:c r="A48" s="93"/>
      <x:c r="B48" s="138"/>
      <x:c r="C48" s="93"/>
      <x:c r="D48" s="93"/>
      <x:c r="E48" s="93"/>
      <x:c r="F48" s="137"/>
      <x:c r="G48" s="137"/>
      <x:c r="H48" s="93"/>
      <x:c r="I48" s="93"/>
      <x:c r="J48" s="93"/>
      <x:c r="K48" s="93"/>
      <x:c r="L48" s="93"/>
    </x:row>
    <x:row r="49">
      <x:c r="A49" s="93"/>
      <x:c r="B49" s="138"/>
      <x:c r="C49" s="93"/>
      <x:c r="D49" s="93"/>
      <x:c r="E49" s="93"/>
      <x:c r="F49" s="137"/>
      <x:c r="G49" s="137"/>
      <x:c r="H49" s="93"/>
      <x:c r="I49" s="93"/>
      <x:c r="J49" s="93"/>
      <x:c r="K49" s="93"/>
      <x:c r="L49" s="93"/>
    </x:row>
    <x:row r="50">
      <x:c r="A50" s="93"/>
      <x:c r="B50" s="138"/>
      <x:c r="C50" s="93"/>
      <x:c r="D50" s="93"/>
      <x:c r="E50" s="93"/>
      <x:c r="F50" s="137"/>
      <x:c r="G50" s="137"/>
      <x:c r="H50" s="93"/>
      <x:c r="I50" s="93"/>
      <x:c r="J50" s="93"/>
      <x:c r="K50" s="93"/>
      <x:c r="L50" s="93"/>
    </x:row>
    <x:row r="51">
      <x:c r="A51" s="93"/>
      <x:c r="B51" s="138"/>
      <x:c r="C51" s="93"/>
      <x:c r="D51" s="93"/>
      <x:c r="E51" s="93"/>
      <x:c r="F51" s="137"/>
      <x:c r="G51" s="137"/>
      <x:c r="H51" s="93"/>
      <x:c r="I51" s="93"/>
      <x:c r="J51" s="93"/>
      <x:c r="K51" s="93"/>
      <x:c r="L51" s="93"/>
    </x:row>
    <x:row r="52">
      <x:c r="A52" s="93"/>
      <x:c r="B52" s="138"/>
      <x:c r="C52" s="93"/>
      <x:c r="D52" s="93"/>
      <x:c r="E52" s="93"/>
      <x:c r="F52" s="137"/>
      <x:c r="G52" s="137"/>
      <x:c r="H52" s="93"/>
      <x:c r="I52" s="93"/>
      <x:c r="J52" s="93"/>
      <x:c r="K52" s="93"/>
      <x:c r="L52" s="93"/>
    </x:row>
    <x:row r="53">
      <x:c r="A53" s="93"/>
      <x:c r="B53" s="138"/>
      <x:c r="C53" s="93"/>
      <x:c r="D53" s="93"/>
      <x:c r="E53" s="93"/>
      <x:c r="F53" s="137"/>
      <x:c r="G53" s="137"/>
      <x:c r="H53" s="93"/>
      <x:c r="I53" s="93"/>
      <x:c r="J53" s="93"/>
      <x:c r="K53" s="93"/>
      <x:c r="L53" s="93"/>
    </x:row>
    <x:row r="54">
      <x:c r="A54" s="93"/>
      <x:c r="B54" s="138"/>
      <x:c r="C54" s="93"/>
      <x:c r="D54" s="93"/>
      <x:c r="E54" s="93"/>
      <x:c r="F54" s="137"/>
      <x:c r="G54" s="137"/>
      <x:c r="H54" s="93"/>
      <x:c r="I54" s="93"/>
      <x:c r="J54" s="93"/>
      <x:c r="K54" s="93"/>
      <x:c r="L54" s="93"/>
    </x:row>
    <x:row r="55">
      <x:c r="A55" s="93"/>
      <x:c r="B55" s="138"/>
      <x:c r="C55" s="93"/>
      <x:c r="D55" s="93"/>
      <x:c r="E55" s="93"/>
      <x:c r="F55" s="137"/>
      <x:c r="G55" s="137"/>
      <x:c r="H55" s="93"/>
      <x:c r="I55" s="93"/>
      <x:c r="J55" s="93"/>
      <x:c r="K55" s="93"/>
      <x:c r="L55" s="93"/>
    </x:row>
    <x:row r="56">
      <x:c r="A56" s="93"/>
      <x:c r="B56" s="138"/>
      <x:c r="C56" s="93"/>
      <x:c r="D56" s="93"/>
      <x:c r="E56" s="93"/>
      <x:c r="F56" s="137"/>
      <x:c r="G56" s="137"/>
      <x:c r="H56" s="93"/>
      <x:c r="I56" s="93"/>
      <x:c r="J56" s="93"/>
      <x:c r="K56" s="93"/>
      <x:c r="L56" s="93"/>
    </x:row>
    <x:row r="57">
      <x:c r="A57" s="93"/>
      <x:c r="B57" s="138"/>
      <x:c r="C57" s="93"/>
      <x:c r="D57" s="93"/>
      <x:c r="E57" s="93"/>
      <x:c r="F57" s="137"/>
      <x:c r="G57" s="137"/>
      <x:c r="H57" s="93"/>
      <x:c r="I57" s="93"/>
      <x:c r="J57" s="93"/>
      <x:c r="K57" s="93"/>
      <x:c r="L57" s="93"/>
    </x:row>
    <x:row r="58">
      <x:c r="A58" s="93"/>
      <x:c r="B58" s="138"/>
      <x:c r="C58" s="93"/>
      <x:c r="D58" s="93"/>
      <x:c r="E58" s="93"/>
      <x:c r="F58" s="137"/>
      <x:c r="G58" s="137"/>
      <x:c r="H58" s="93"/>
      <x:c r="I58" s="93"/>
      <x:c r="J58" s="93"/>
      <x:c r="K58" s="93"/>
      <x:c r="L58" s="93"/>
    </x:row>
    <x:row r="59">
      <x:c r="A59" s="93"/>
      <x:c r="B59" s="138"/>
      <x:c r="C59" s="93"/>
      <x:c r="D59" s="93"/>
      <x:c r="E59" s="93"/>
      <x:c r="F59" s="137"/>
      <x:c r="G59" s="137"/>
      <x:c r="H59" s="93"/>
      <x:c r="I59" s="93"/>
      <x:c r="J59" s="93"/>
      <x:c r="K59" s="93"/>
      <x:c r="L59" s="93"/>
    </x:row>
    <x:row r="60">
      <x:c r="A60" s="93"/>
      <x:c r="B60" s="138"/>
      <x:c r="C60" s="93"/>
      <x:c r="D60" s="93"/>
      <x:c r="E60" s="93"/>
      <x:c r="F60" s="137"/>
      <x:c r="G60" s="137"/>
      <x:c r="H60" s="93"/>
      <x:c r="I60" s="93"/>
      <x:c r="J60" s="93"/>
      <x:c r="K60" s="93"/>
      <x:c r="L60" s="93"/>
    </x:row>
  </x:sheetData>
  <x:dataValidations count="3">
    <x:dataValidation type="list" showInputMessage="1" promptTitle="可选值" prompt="未提交 / 已报价 / 需修改 / 已确认" sqref="H2:H60">
      <x:formula1>"未提交,已报价,需修改,已确认"</x:formula1>
    </x:dataValidation>
    <x:dataValidation type="list" showInputMessage="1" promptTitle="可选值" prompt="未签字 / 已签字 / 不需要" sqref="I2:I60">
      <x:formula1>"未签字,已签字,不需要"</x:formula1>
    </x:dataValidation>
    <x:dataValidation type="list" showInputMessage="1" promptTitle="可选值" prompt="待定 / 计入结算 / 不计入结算 / 已关闭" sqref="J2:J60">
      <x:formula1>"待定,计入结算,不计入结算,已关闭"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9986bcdd4b41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1.109999656677246" hidden="0" customWidth="1"/>
    <x:col min="3" max="3" width="22.219999313354492" hidden="0" customWidth="1"/>
    <x:col min="4" max="4" width="24.440000534057617" hidden="0" customWidth="1"/>
    <x:col min="5" max="5" width="22.219999313354492" hidden="0" customWidth="1"/>
    <x:col min="6" max="6" width="16.670000076293945" hidden="0" customWidth="1"/>
    <x:col min="7" max="7" width="10" hidden="0" customWidth="1"/>
    <x:col min="8" max="8" width="10" hidden="0" customWidth="1"/>
    <x:col min="9" max="9" width="10" hidden="0" customWidth="1"/>
    <x:col min="10" max="10" width="33.33000183105469" hidden="0" customWidth="1"/>
    <x:col min="11" max="11" width="24.440000534057617" hidden="0" customWidth="1"/>
  </x:cols>
  <x:sheetData>
    <x:row r="1">
      <x:c r="A1" s="130" t="str">
        <x:v>ID</x:v>
      </x:c>
      <x:c r="B1" s="131" t="str">
        <x:v>类别</x:v>
      </x:c>
      <x:c r="C1" s="131" t="str">
        <x:v>项目</x:v>
      </x:c>
      <x:c r="D1" s="131" t="str">
        <x:v>预算内品牌/型号</x:v>
      </x:c>
      <x:c r="E1" s="131" t="str">
        <x:v>最终选择</x:v>
      </x:c>
      <x:c r="F1" s="131" t="str">
        <x:v>预算价/口径</x:v>
      </x:c>
      <x:c r="G1" s="131" t="str">
        <x:v>最终价</x:v>
      </x:c>
      <x:c r="H1" s="131" t="str">
        <x:v>补差金额</x:v>
      </x:c>
      <x:c r="I1" s="131" t="str">
        <x:v>状态</x:v>
      </x:c>
      <x:c r="J1" s="131" t="str">
        <x:v>待确认事项</x:v>
      </x:c>
      <x:c r="K1" s="132" t="str">
        <x:v>备注</x:v>
      </x:c>
    </x:row>
    <x:row r="2">
      <x:c r="A2" s="107" t="str">
        <x:v>M-001</x:v>
      </x:c>
      <x:c r="B2" s="108" t="str">
        <x:v>地板</x:v>
      </x:c>
      <x:c r="C2" s="108" t="str">
        <x:v>强化复合地板</x:v>
      </x:c>
      <x:c r="D2" s="108" t="str">
        <x:v>品牌/型号待定</x:v>
      </x:c>
      <x:c r="E2" s="108" t="str"/>
      <x:c r="F2" s="108" t="str">
        <x:v>预算单价200元/㎡</x:v>
      </x:c>
      <x:c r="G2" s="109" t="str"/>
      <x:c r="H2" s="109" t="str"/>
      <x:c r="I2" s="108" t="str">
        <x:v>待选型</x:v>
      </x:c>
      <x:c r="J2" s="108" t="str">
        <x:v>确认可选系列、颜色、损耗率</x:v>
      </x:c>
      <x:c r="K2" s="110" t="str"/>
    </x:row>
    <x:row r="3">
      <x:c r="A3" s="107" t="str">
        <x:v>M-002</x:v>
      </x:c>
      <x:c r="B3" s="108" t="str">
        <x:v>墙地砖</x:v>
      </x:c>
      <x:c r="C3" s="108" t="str">
        <x:v>厨房/卫生间/阳台墙地砖</x:v>
      </x:c>
      <x:c r="D3" s="108" t="str">
        <x:v>品牌/型号待定</x:v>
      </x:c>
      <x:c r="E3" s="108" t="str"/>
      <x:c r="F3" s="108" t="str">
        <x:v>墙地砖预算单价120元/㎡</x:v>
      </x:c>
      <x:c r="G3" s="109" t="str"/>
      <x:c r="H3" s="109" t="str"/>
      <x:c r="I3" s="108" t="str">
        <x:v>待选型</x:v>
      </x:c>
      <x:c r="J3" s="108" t="str">
        <x:v>确认规格对应铺贴人工和辅材是否加价</x:v>
      </x:c>
      <x:c r="K3" s="110" t="str"/>
    </x:row>
    <x:row r="4">
      <x:c r="A4" s="107" t="str">
        <x:v>M-003</x:v>
      </x:c>
      <x:c r="B4" s="108" t="str">
        <x:v>橱柜</x:v>
      </x:c>
      <x:c r="C4" s="108" t="str">
        <x:v>整体橱柜</x:v>
      </x:c>
      <x:c r="D4" s="108" t="str">
        <x:v>品牌/型号待定</x:v>
      </x:c>
      <x:c r="E4" s="108" t="str"/>
      <x:c r="F4" s="108" t="str">
        <x:v>预算15000元/套</x:v>
      </x:c>
      <x:c r="G4" s="109" t="str"/>
      <x:c r="H4" s="109" t="str"/>
      <x:c r="I4" s="108" t="str">
        <x:v>待选型</x:v>
      </x:c>
      <x:c r="J4" s="108" t="str">
        <x:v>拆分延米、台面、板材、五金、拉篮</x:v>
      </x:c>
      <x:c r="K4" s="110" t="str"/>
    </x:row>
    <x:row r="5">
      <x:c r="A5" s="107" t="str">
        <x:v>M-004</x:v>
      </x:c>
      <x:c r="B5" s="108" t="str">
        <x:v>衣柜</x:v>
      </x:c>
      <x:c r="C5" s="108" t="str">
        <x:v>整体成品衣柜</x:v>
      </x:c>
      <x:c r="D5" s="108" t="str">
        <x:v>品牌/型号待定</x:v>
      </x:c>
      <x:c r="E5" s="108" t="str"/>
      <x:c r="F5" s="108" t="str">
        <x:v>预算5000元/套</x:v>
      </x:c>
      <x:c r="G5" s="109" t="str"/>
      <x:c r="H5" s="109" t="str"/>
      <x:c r="I5" s="108" t="str">
        <x:v>待选型</x:v>
      </x:c>
      <x:c r="J5" s="108" t="str">
        <x:v>确认投影/展开面积和包含件</x:v>
      </x:c>
      <x:c r="K5" s="110" t="str"/>
    </x:row>
    <x:row r="6">
      <x:c r="A6" s="107" t="str">
        <x:v>M-005</x:v>
      </x:c>
      <x:c r="B6" s="108" t="str">
        <x:v>卫浴</x:v>
      </x:c>
      <x:c r="C6" s="108" t="str">
        <x:v>台盆柜/马桶/淋浴房/龙头</x:v>
      </x:c>
      <x:c r="D6" s="108" t="str">
        <x:v>品牌/型号待定</x:v>
      </x:c>
      <x:c r="E6" s="108" t="str"/>
      <x:c r="F6" s="108" t="str">
        <x:v>按预算占位价</x:v>
      </x:c>
      <x:c r="G6" s="109" t="str"/>
      <x:c r="H6" s="109" t="str"/>
      <x:c r="I6" s="108" t="str">
        <x:v>待选型</x:v>
      </x:c>
      <x:c r="J6" s="108" t="str">
        <x:v>确认预算内可选型号和补差规则</x:v>
      </x:c>
      <x:c r="K6" s="110" t="str"/>
    </x:row>
    <x:row r="7">
      <x:c r="A7" s="107" t="str">
        <x:v>M-006</x:v>
      </x:c>
      <x:c r="B7" s="108" t="str">
        <x:v>灯具</x:v>
      </x:c>
      <x:c r="C7" s="108" t="str">
        <x:v>筒灯/射灯/主灯/灯带/磁吸灯</x:v>
      </x:c>
      <x:c r="D7" s="108" t="str">
        <x:v>部分含，部分业主自购</x:v>
      </x:c>
      <x:c r="E7" s="108" t="str"/>
      <x:c r="F7" s="108" t="str">
        <x:v>多项主材为0</x:v>
      </x:c>
      <x:c r="G7" s="109" t="str"/>
      <x:c r="H7" s="109" t="str"/>
      <x:c r="I7" s="108" t="str">
        <x:v>待选型</x:v>
      </x:c>
      <x:c r="J7" s="108" t="str">
        <x:v>确认轨道、变压器、电源和安装边界</x:v>
      </x:c>
      <x:c r="K7" s="110" t="str"/>
    </x:row>
    <x:row r="8">
      <x:c r="A8" s="111" t="str">
        <x:v>M-007</x:v>
      </x:c>
      <x:c r="B8" s="113" t="str">
        <x:v>窗帘</x:v>
      </x:c>
      <x:c r="C8" s="113" t="str">
        <x:v>全屋窗帘套餐</x:v>
      </x:c>
      <x:c r="D8" s="113" t="str">
        <x:v>软装馆待选</x:v>
      </x:c>
      <x:c r="E8" s="113" t="str"/>
      <x:c r="F8" s="113" t="str">
        <x:v>预算3695元</x:v>
      </x:c>
      <x:c r="G8" s="112" t="str"/>
      <x:c r="H8" s="112" t="str"/>
      <x:c r="I8" s="113" t="str">
        <x:v>待选型</x:v>
      </x:c>
      <x:c r="J8" s="113" t="str">
        <x:v>确认米数、纱帘、遮光布、轨道和电机</x:v>
      </x:c>
      <x:c r="K8" s="114" t="str"/>
    </x:row>
    <x:row r="9">
      <x:c r="A9" s="93"/>
      <x:c r="B9" s="93"/>
      <x:c r="C9" s="93"/>
      <x:c r="D9" s="93"/>
      <x:c r="E9" s="93"/>
      <x:c r="F9" s="93"/>
      <x:c r="G9" s="137"/>
      <x:c r="H9" s="137"/>
      <x:c r="I9" s="93"/>
      <x:c r="J9" s="93"/>
      <x:c r="K9" s="93"/>
    </x:row>
    <x:row r="10">
      <x:c r="A10" s="93"/>
      <x:c r="B10" s="93"/>
      <x:c r="C10" s="93"/>
      <x:c r="D10" s="93"/>
      <x:c r="E10" s="93"/>
      <x:c r="F10" s="93"/>
      <x:c r="G10" s="137"/>
      <x:c r="H10" s="137"/>
      <x:c r="I10" s="93"/>
      <x:c r="J10" s="93"/>
      <x:c r="K10" s="93"/>
    </x:row>
    <x:row r="11">
      <x:c r="A11" s="93"/>
      <x:c r="B11" s="93"/>
      <x:c r="C11" s="93"/>
      <x:c r="D11" s="93"/>
      <x:c r="E11" s="93"/>
      <x:c r="F11" s="93"/>
      <x:c r="G11" s="137"/>
      <x:c r="H11" s="137"/>
      <x:c r="I11" s="93"/>
      <x:c r="J11" s="93"/>
      <x:c r="K11" s="93"/>
    </x:row>
    <x:row r="12">
      <x:c r="A12" s="93"/>
      <x:c r="B12" s="93"/>
      <x:c r="C12" s="93"/>
      <x:c r="D12" s="93"/>
      <x:c r="E12" s="93"/>
      <x:c r="F12" s="93"/>
      <x:c r="G12" s="137"/>
      <x:c r="H12" s="137"/>
      <x:c r="I12" s="93"/>
      <x:c r="J12" s="93"/>
      <x:c r="K12" s="93"/>
    </x:row>
    <x:row r="13">
      <x:c r="A13" s="93"/>
      <x:c r="B13" s="93"/>
      <x:c r="C13" s="93"/>
      <x:c r="D13" s="93"/>
      <x:c r="E13" s="93"/>
      <x:c r="F13" s="93"/>
      <x:c r="G13" s="137"/>
      <x:c r="H13" s="137"/>
      <x:c r="I13" s="93"/>
      <x:c r="J13" s="93"/>
      <x:c r="K13" s="93"/>
    </x:row>
    <x:row r="14">
      <x:c r="A14" s="93"/>
      <x:c r="B14" s="93"/>
      <x:c r="C14" s="93"/>
      <x:c r="D14" s="93"/>
      <x:c r="E14" s="93"/>
      <x:c r="F14" s="93"/>
      <x:c r="G14" s="137"/>
      <x:c r="H14" s="137"/>
      <x:c r="I14" s="93"/>
      <x:c r="J14" s="93"/>
      <x:c r="K14" s="93"/>
    </x:row>
    <x:row r="15">
      <x:c r="A15" s="93"/>
      <x:c r="B15" s="93"/>
      <x:c r="C15" s="93"/>
      <x:c r="D15" s="93"/>
      <x:c r="E15" s="93"/>
      <x:c r="F15" s="93"/>
      <x:c r="G15" s="137"/>
      <x:c r="H15" s="137"/>
      <x:c r="I15" s="93"/>
      <x:c r="J15" s="93"/>
      <x:c r="K15" s="93"/>
    </x:row>
    <x:row r="16">
      <x:c r="A16" s="93"/>
      <x:c r="B16" s="93"/>
      <x:c r="C16" s="93"/>
      <x:c r="D16" s="93"/>
      <x:c r="E16" s="93"/>
      <x:c r="F16" s="93"/>
      <x:c r="G16" s="137"/>
      <x:c r="H16" s="137"/>
      <x:c r="I16" s="93"/>
      <x:c r="J16" s="93"/>
      <x:c r="K16" s="93"/>
    </x:row>
    <x:row r="17">
      <x:c r="A17" s="93"/>
      <x:c r="B17" s="93"/>
      <x:c r="C17" s="93"/>
      <x:c r="D17" s="93"/>
      <x:c r="E17" s="93"/>
      <x:c r="F17" s="93"/>
      <x:c r="G17" s="137"/>
      <x:c r="H17" s="137"/>
      <x:c r="I17" s="93"/>
      <x:c r="J17" s="93"/>
      <x:c r="K17" s="93"/>
    </x:row>
    <x:row r="18">
      <x:c r="A18" s="93"/>
      <x:c r="B18" s="93"/>
      <x:c r="C18" s="93"/>
      <x:c r="D18" s="93"/>
      <x:c r="E18" s="93"/>
      <x:c r="F18" s="93"/>
      <x:c r="G18" s="137"/>
      <x:c r="H18" s="137"/>
      <x:c r="I18" s="93"/>
      <x:c r="J18" s="93"/>
      <x:c r="K18" s="93"/>
    </x:row>
    <x:row r="19">
      <x:c r="A19" s="93"/>
      <x:c r="B19" s="93"/>
      <x:c r="C19" s="93"/>
      <x:c r="D19" s="93"/>
      <x:c r="E19" s="93"/>
      <x:c r="F19" s="93"/>
      <x:c r="G19" s="137"/>
      <x:c r="H19" s="137"/>
      <x:c r="I19" s="93"/>
      <x:c r="J19" s="93"/>
      <x:c r="K19" s="93"/>
    </x:row>
    <x:row r="20">
      <x:c r="A20" s="93"/>
      <x:c r="B20" s="93"/>
      <x:c r="C20" s="93"/>
      <x:c r="D20" s="93"/>
      <x:c r="E20" s="93"/>
      <x:c r="F20" s="93"/>
      <x:c r="G20" s="137"/>
      <x:c r="H20" s="137"/>
      <x:c r="I20" s="93"/>
      <x:c r="J20" s="93"/>
      <x:c r="K20" s="93"/>
    </x:row>
    <x:row r="21">
      <x:c r="A21" s="93"/>
      <x:c r="B21" s="93"/>
      <x:c r="C21" s="93"/>
      <x:c r="D21" s="93"/>
      <x:c r="E21" s="93"/>
      <x:c r="F21" s="93"/>
      <x:c r="G21" s="137"/>
      <x:c r="H21" s="137"/>
      <x:c r="I21" s="93"/>
      <x:c r="J21" s="93"/>
      <x:c r="K21" s="93"/>
    </x:row>
    <x:row r="22">
      <x:c r="A22" s="93"/>
      <x:c r="B22" s="93"/>
      <x:c r="C22" s="93"/>
      <x:c r="D22" s="93"/>
      <x:c r="E22" s="93"/>
      <x:c r="F22" s="93"/>
      <x:c r="G22" s="137"/>
      <x:c r="H22" s="137"/>
      <x:c r="I22" s="93"/>
      <x:c r="J22" s="93"/>
      <x:c r="K22" s="93"/>
    </x:row>
    <x:row r="23">
      <x:c r="A23" s="93"/>
      <x:c r="B23" s="93"/>
      <x:c r="C23" s="93"/>
      <x:c r="D23" s="93"/>
      <x:c r="E23" s="93"/>
      <x:c r="F23" s="93"/>
      <x:c r="G23" s="137"/>
      <x:c r="H23" s="137"/>
      <x:c r="I23" s="93"/>
      <x:c r="J23" s="93"/>
      <x:c r="K23" s="93"/>
    </x:row>
    <x:row r="24">
      <x:c r="A24" s="93"/>
      <x:c r="B24" s="93"/>
      <x:c r="C24" s="93"/>
      <x:c r="D24" s="93"/>
      <x:c r="E24" s="93"/>
      <x:c r="F24" s="93"/>
      <x:c r="G24" s="137"/>
      <x:c r="H24" s="137"/>
      <x:c r="I24" s="93"/>
      <x:c r="J24" s="93"/>
      <x:c r="K24" s="93"/>
    </x:row>
    <x:row r="25">
      <x:c r="A25" s="93"/>
      <x:c r="B25" s="93"/>
      <x:c r="C25" s="93"/>
      <x:c r="D25" s="93"/>
      <x:c r="E25" s="93"/>
      <x:c r="F25" s="93"/>
      <x:c r="G25" s="137"/>
      <x:c r="H25" s="137"/>
      <x:c r="I25" s="93"/>
      <x:c r="J25" s="93"/>
      <x:c r="K25" s="93"/>
    </x:row>
    <x:row r="26">
      <x:c r="A26" s="93"/>
      <x:c r="B26" s="93"/>
      <x:c r="C26" s="93"/>
      <x:c r="D26" s="93"/>
      <x:c r="E26" s="93"/>
      <x:c r="F26" s="93"/>
      <x:c r="G26" s="137"/>
      <x:c r="H26" s="137"/>
      <x:c r="I26" s="93"/>
      <x:c r="J26" s="93"/>
      <x:c r="K26" s="93"/>
    </x:row>
    <x:row r="27">
      <x:c r="A27" s="93"/>
      <x:c r="B27" s="93"/>
      <x:c r="C27" s="93"/>
      <x:c r="D27" s="93"/>
      <x:c r="E27" s="93"/>
      <x:c r="F27" s="93"/>
      <x:c r="G27" s="137"/>
      <x:c r="H27" s="137"/>
      <x:c r="I27" s="93"/>
      <x:c r="J27" s="93"/>
      <x:c r="K27" s="93"/>
    </x:row>
    <x:row r="28">
      <x:c r="A28" s="93"/>
      <x:c r="B28" s="93"/>
      <x:c r="C28" s="93"/>
      <x:c r="D28" s="93"/>
      <x:c r="E28" s="93"/>
      <x:c r="F28" s="93"/>
      <x:c r="G28" s="137"/>
      <x:c r="H28" s="137"/>
      <x:c r="I28" s="93"/>
      <x:c r="J28" s="93"/>
      <x:c r="K28" s="93"/>
    </x:row>
    <x:row r="29">
      <x:c r="A29" s="93"/>
      <x:c r="B29" s="93"/>
      <x:c r="C29" s="93"/>
      <x:c r="D29" s="93"/>
      <x:c r="E29" s="93"/>
      <x:c r="F29" s="93"/>
      <x:c r="G29" s="137"/>
      <x:c r="H29" s="137"/>
      <x:c r="I29" s="93"/>
      <x:c r="J29" s="93"/>
      <x:c r="K29" s="93"/>
    </x:row>
    <x:row r="30">
      <x:c r="A30" s="93"/>
      <x:c r="B30" s="93"/>
      <x:c r="C30" s="93"/>
      <x:c r="D30" s="93"/>
      <x:c r="E30" s="93"/>
      <x:c r="F30" s="93"/>
      <x:c r="G30" s="137"/>
      <x:c r="H30" s="137"/>
      <x:c r="I30" s="93"/>
      <x:c r="J30" s="93"/>
      <x:c r="K30" s="93"/>
    </x:row>
    <x:row r="31">
      <x:c r="A31" s="93"/>
      <x:c r="B31" s="93"/>
      <x:c r="C31" s="93"/>
      <x:c r="D31" s="93"/>
      <x:c r="E31" s="93"/>
      <x:c r="F31" s="93"/>
      <x:c r="G31" s="137"/>
      <x:c r="H31" s="137"/>
      <x:c r="I31" s="93"/>
      <x:c r="J31" s="93"/>
      <x:c r="K31" s="93"/>
    </x:row>
    <x:row r="32">
      <x:c r="A32" s="93"/>
      <x:c r="B32" s="93"/>
      <x:c r="C32" s="93"/>
      <x:c r="D32" s="93"/>
      <x:c r="E32" s="93"/>
      <x:c r="F32" s="93"/>
      <x:c r="G32" s="137"/>
      <x:c r="H32" s="137"/>
      <x:c r="I32" s="93"/>
      <x:c r="J32" s="93"/>
      <x:c r="K32" s="93"/>
    </x:row>
    <x:row r="33">
      <x:c r="A33" s="93"/>
      <x:c r="B33" s="93"/>
      <x:c r="C33" s="93"/>
      <x:c r="D33" s="93"/>
      <x:c r="E33" s="93"/>
      <x:c r="F33" s="93"/>
      <x:c r="G33" s="137"/>
      <x:c r="H33" s="137"/>
      <x:c r="I33" s="93"/>
      <x:c r="J33" s="93"/>
      <x:c r="K33" s="93"/>
    </x:row>
    <x:row r="34">
      <x:c r="A34" s="93"/>
      <x:c r="B34" s="93"/>
      <x:c r="C34" s="93"/>
      <x:c r="D34" s="93"/>
      <x:c r="E34" s="93"/>
      <x:c r="F34" s="93"/>
      <x:c r="G34" s="137"/>
      <x:c r="H34" s="137"/>
      <x:c r="I34" s="93"/>
      <x:c r="J34" s="93"/>
      <x:c r="K34" s="93"/>
    </x:row>
    <x:row r="35">
      <x:c r="A35" s="93"/>
      <x:c r="B35" s="93"/>
      <x:c r="C35" s="93"/>
      <x:c r="D35" s="93"/>
      <x:c r="E35" s="93"/>
      <x:c r="F35" s="93"/>
      <x:c r="G35" s="137"/>
      <x:c r="H35" s="137"/>
      <x:c r="I35" s="93"/>
      <x:c r="J35" s="93"/>
      <x:c r="K35" s="93"/>
    </x:row>
    <x:row r="36">
      <x:c r="A36" s="93"/>
      <x:c r="B36" s="93"/>
      <x:c r="C36" s="93"/>
      <x:c r="D36" s="93"/>
      <x:c r="E36" s="93"/>
      <x:c r="F36" s="93"/>
      <x:c r="G36" s="137"/>
      <x:c r="H36" s="137"/>
      <x:c r="I36" s="93"/>
      <x:c r="J36" s="93"/>
      <x:c r="K36" s="93"/>
    </x:row>
    <x:row r="37">
      <x:c r="A37" s="93"/>
      <x:c r="B37" s="93"/>
      <x:c r="C37" s="93"/>
      <x:c r="D37" s="93"/>
      <x:c r="E37" s="93"/>
      <x:c r="F37" s="93"/>
      <x:c r="G37" s="137"/>
      <x:c r="H37" s="137"/>
      <x:c r="I37" s="93"/>
      <x:c r="J37" s="93"/>
      <x:c r="K37" s="93"/>
    </x:row>
    <x:row r="38">
      <x:c r="A38" s="93"/>
      <x:c r="B38" s="93"/>
      <x:c r="C38" s="93"/>
      <x:c r="D38" s="93"/>
      <x:c r="E38" s="93"/>
      <x:c r="F38" s="93"/>
      <x:c r="G38" s="137"/>
      <x:c r="H38" s="137"/>
      <x:c r="I38" s="93"/>
      <x:c r="J38" s="93"/>
      <x:c r="K38" s="93"/>
    </x:row>
    <x:row r="39">
      <x:c r="A39" s="93"/>
      <x:c r="B39" s="93"/>
      <x:c r="C39" s="93"/>
      <x:c r="D39" s="93"/>
      <x:c r="E39" s="93"/>
      <x:c r="F39" s="93"/>
      <x:c r="G39" s="137"/>
      <x:c r="H39" s="137"/>
      <x:c r="I39" s="93"/>
      <x:c r="J39" s="93"/>
      <x:c r="K39" s="93"/>
    </x:row>
    <x:row r="40">
      <x:c r="A40" s="93"/>
      <x:c r="B40" s="93"/>
      <x:c r="C40" s="93"/>
      <x:c r="D40" s="93"/>
      <x:c r="E40" s="93"/>
      <x:c r="F40" s="93"/>
      <x:c r="G40" s="137"/>
      <x:c r="H40" s="137"/>
      <x:c r="I40" s="93"/>
      <x:c r="J40" s="93"/>
      <x:c r="K40" s="93"/>
    </x:row>
    <x:row r="41">
      <x:c r="A41" s="93"/>
      <x:c r="B41" s="93"/>
      <x:c r="C41" s="93"/>
      <x:c r="D41" s="93"/>
      <x:c r="E41" s="93"/>
      <x:c r="F41" s="93"/>
      <x:c r="G41" s="137"/>
      <x:c r="H41" s="137"/>
      <x:c r="I41" s="93"/>
      <x:c r="J41" s="93"/>
      <x:c r="K41" s="93"/>
    </x:row>
    <x:row r="42">
      <x:c r="A42" s="93"/>
      <x:c r="B42" s="93"/>
      <x:c r="C42" s="93"/>
      <x:c r="D42" s="93"/>
      <x:c r="E42" s="93"/>
      <x:c r="F42" s="93"/>
      <x:c r="G42" s="137"/>
      <x:c r="H42" s="137"/>
      <x:c r="I42" s="93"/>
      <x:c r="J42" s="93"/>
      <x:c r="K42" s="93"/>
    </x:row>
    <x:row r="43">
      <x:c r="A43" s="93"/>
      <x:c r="B43" s="93"/>
      <x:c r="C43" s="93"/>
      <x:c r="D43" s="93"/>
      <x:c r="E43" s="93"/>
      <x:c r="F43" s="93"/>
      <x:c r="G43" s="137"/>
      <x:c r="H43" s="137"/>
      <x:c r="I43" s="93"/>
      <x:c r="J43" s="93"/>
      <x:c r="K43" s="93"/>
    </x:row>
    <x:row r="44">
      <x:c r="A44" s="93"/>
      <x:c r="B44" s="93"/>
      <x:c r="C44" s="93"/>
      <x:c r="D44" s="93"/>
      <x:c r="E44" s="93"/>
      <x:c r="F44" s="93"/>
      <x:c r="G44" s="137"/>
      <x:c r="H44" s="137"/>
      <x:c r="I44" s="93"/>
      <x:c r="J44" s="93"/>
      <x:c r="K44" s="93"/>
    </x:row>
    <x:row r="45">
      <x:c r="A45" s="93"/>
      <x:c r="B45" s="93"/>
      <x:c r="C45" s="93"/>
      <x:c r="D45" s="93"/>
      <x:c r="E45" s="93"/>
      <x:c r="F45" s="93"/>
      <x:c r="G45" s="137"/>
      <x:c r="H45" s="137"/>
      <x:c r="I45" s="93"/>
      <x:c r="J45" s="93"/>
      <x:c r="K45" s="93"/>
    </x:row>
    <x:row r="46">
      <x:c r="A46" s="93"/>
      <x:c r="B46" s="93"/>
      <x:c r="C46" s="93"/>
      <x:c r="D46" s="93"/>
      <x:c r="E46" s="93"/>
      <x:c r="F46" s="93"/>
      <x:c r="G46" s="137"/>
      <x:c r="H46" s="137"/>
      <x:c r="I46" s="93"/>
      <x:c r="J46" s="93"/>
      <x:c r="K46" s="93"/>
    </x:row>
    <x:row r="47">
      <x:c r="A47" s="93"/>
      <x:c r="B47" s="93"/>
      <x:c r="C47" s="93"/>
      <x:c r="D47" s="93"/>
      <x:c r="E47" s="93"/>
      <x:c r="F47" s="93"/>
      <x:c r="G47" s="137"/>
      <x:c r="H47" s="137"/>
      <x:c r="I47" s="93"/>
      <x:c r="J47" s="93"/>
      <x:c r="K47" s="93"/>
    </x:row>
    <x:row r="48">
      <x:c r="A48" s="93"/>
      <x:c r="B48" s="93"/>
      <x:c r="C48" s="93"/>
      <x:c r="D48" s="93"/>
      <x:c r="E48" s="93"/>
      <x:c r="F48" s="93"/>
      <x:c r="G48" s="137"/>
      <x:c r="H48" s="137"/>
      <x:c r="I48" s="93"/>
      <x:c r="J48" s="93"/>
      <x:c r="K48" s="93"/>
    </x:row>
    <x:row r="49">
      <x:c r="A49" s="93"/>
      <x:c r="B49" s="93"/>
      <x:c r="C49" s="93"/>
      <x:c r="D49" s="93"/>
      <x:c r="E49" s="93"/>
      <x:c r="F49" s="93"/>
      <x:c r="G49" s="137"/>
      <x:c r="H49" s="137"/>
      <x:c r="I49" s="93"/>
      <x:c r="J49" s="93"/>
      <x:c r="K49" s="93"/>
    </x:row>
    <x:row r="50">
      <x:c r="A50" s="93"/>
      <x:c r="B50" s="93"/>
      <x:c r="C50" s="93"/>
      <x:c r="D50" s="93"/>
      <x:c r="E50" s="93"/>
      <x:c r="F50" s="93"/>
      <x:c r="G50" s="137"/>
      <x:c r="H50" s="137"/>
      <x:c r="I50" s="93"/>
      <x:c r="J50" s="93"/>
      <x:c r="K50" s="93"/>
    </x:row>
    <x:row r="51">
      <x:c r="A51" s="93"/>
      <x:c r="B51" s="93"/>
      <x:c r="C51" s="93"/>
      <x:c r="D51" s="93"/>
      <x:c r="E51" s="93"/>
      <x:c r="F51" s="93"/>
      <x:c r="G51" s="137"/>
      <x:c r="H51" s="137"/>
      <x:c r="I51" s="93"/>
      <x:c r="J51" s="93"/>
      <x:c r="K51" s="93"/>
    </x:row>
    <x:row r="52">
      <x:c r="A52" s="93"/>
      <x:c r="B52" s="93"/>
      <x:c r="C52" s="93"/>
      <x:c r="D52" s="93"/>
      <x:c r="E52" s="93"/>
      <x:c r="F52" s="93"/>
      <x:c r="G52" s="137"/>
      <x:c r="H52" s="137"/>
      <x:c r="I52" s="93"/>
      <x:c r="J52" s="93"/>
      <x:c r="K52" s="93"/>
    </x:row>
    <x:row r="53">
      <x:c r="A53" s="93"/>
      <x:c r="B53" s="93"/>
      <x:c r="C53" s="93"/>
      <x:c r="D53" s="93"/>
      <x:c r="E53" s="93"/>
      <x:c r="F53" s="93"/>
      <x:c r="G53" s="137"/>
      <x:c r="H53" s="137"/>
      <x:c r="I53" s="93"/>
      <x:c r="J53" s="93"/>
      <x:c r="K53" s="93"/>
    </x:row>
    <x:row r="54">
      <x:c r="A54" s="93"/>
      <x:c r="B54" s="93"/>
      <x:c r="C54" s="93"/>
      <x:c r="D54" s="93"/>
      <x:c r="E54" s="93"/>
      <x:c r="F54" s="93"/>
      <x:c r="G54" s="137"/>
      <x:c r="H54" s="137"/>
      <x:c r="I54" s="93"/>
      <x:c r="J54" s="93"/>
      <x:c r="K54" s="93"/>
    </x:row>
    <x:row r="55">
      <x:c r="A55" s="93"/>
      <x:c r="B55" s="93"/>
      <x:c r="C55" s="93"/>
      <x:c r="D55" s="93"/>
      <x:c r="E55" s="93"/>
      <x:c r="F55" s="93"/>
      <x:c r="G55" s="137"/>
      <x:c r="H55" s="137"/>
      <x:c r="I55" s="93"/>
      <x:c r="J55" s="93"/>
      <x:c r="K55" s="93"/>
    </x:row>
    <x:row r="56">
      <x:c r="A56" s="93"/>
      <x:c r="B56" s="93"/>
      <x:c r="C56" s="93"/>
      <x:c r="D56" s="93"/>
      <x:c r="E56" s="93"/>
      <x:c r="F56" s="93"/>
      <x:c r="G56" s="137"/>
      <x:c r="H56" s="137"/>
      <x:c r="I56" s="93"/>
      <x:c r="J56" s="93"/>
      <x:c r="K56" s="93"/>
    </x:row>
    <x:row r="57">
      <x:c r="A57" s="93"/>
      <x:c r="B57" s="93"/>
      <x:c r="C57" s="93"/>
      <x:c r="D57" s="93"/>
      <x:c r="E57" s="93"/>
      <x:c r="F57" s="93"/>
      <x:c r="G57" s="137"/>
      <x:c r="H57" s="137"/>
      <x:c r="I57" s="93"/>
      <x:c r="J57" s="93"/>
      <x:c r="K57" s="93"/>
    </x:row>
    <x:row r="58">
      <x:c r="A58" s="93"/>
      <x:c r="B58" s="93"/>
      <x:c r="C58" s="93"/>
      <x:c r="D58" s="93"/>
      <x:c r="E58" s="93"/>
      <x:c r="F58" s="93"/>
      <x:c r="G58" s="137"/>
      <x:c r="H58" s="137"/>
      <x:c r="I58" s="93"/>
      <x:c r="J58" s="93"/>
      <x:c r="K58" s="93"/>
    </x:row>
    <x:row r="59">
      <x:c r="A59" s="93"/>
      <x:c r="B59" s="93"/>
      <x:c r="C59" s="93"/>
      <x:c r="D59" s="93"/>
      <x:c r="E59" s="93"/>
      <x:c r="F59" s="93"/>
      <x:c r="G59" s="137"/>
      <x:c r="H59" s="137"/>
      <x:c r="I59" s="93"/>
      <x:c r="J59" s="93"/>
      <x:c r="K59" s="93"/>
    </x:row>
    <x:row r="60">
      <x:c r="A60" s="93"/>
      <x:c r="B60" s="93"/>
      <x:c r="C60" s="93"/>
      <x:c r="D60" s="93"/>
      <x:c r="E60" s="93"/>
      <x:c r="F60" s="93"/>
      <x:c r="G60" s="137"/>
      <x:c r="H60" s="137"/>
      <x:c r="I60" s="93"/>
      <x:c r="J60" s="93"/>
      <x:c r="K60" s="93"/>
    </x:row>
  </x:sheetData>
  <x:conditionalFormatting sqref="I2:I60">
    <x:cfRule type="containsText" dxfId="18" priority="1" operator="containsText" text="待追问"/>
    <x:cfRule type="containsText" dxfId="19" priority="2" operator="containsText" text="待确认"/>
    <x:cfRule type="containsText" dxfId="20" priority="3" operator="containsText" text="有争议"/>
    <x:cfRule type="containsText" dxfId="21" priority="4" operator="containsText" text="已关闭"/>
    <x:cfRule type="containsText" dxfId="22" priority="5" operator="containsText" text="施工中"/>
  </x:conditionalFormatting>
  <x:dataValidations count="1">
    <x:dataValidation type="list" showInputMessage="1" promptTitle="可选值" prompt="待选型 / 已选型 / 待补差 / 已确认 / 取消" sqref="I2:I60">
      <x:formula1>"待选型,已选型,待补差,已确认,取消"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463e0036b64c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5.5600004196167" hidden="0" customWidth="1"/>
    <x:col min="3" max="3" width="20" hidden="0" customWidth="1"/>
    <x:col min="4" max="4" width="12.220000267028809" hidden="0" customWidth="1"/>
    <x:col min="5" max="5" width="12.220000267028809" hidden="0" customWidth="1"/>
    <x:col min="6" max="6" width="10" hidden="0" customWidth="1"/>
    <x:col min="7" max="7" width="36.66999816894531" hidden="0" customWidth="1"/>
    <x:col min="8" max="8" width="20" hidden="0" customWidth="1"/>
  </x:cols>
  <x:sheetData>
    <x:row r="1">
      <x:c r="A1" s="130" t="str">
        <x:v>ID</x:v>
      </x:c>
      <x:c r="B1" s="131" t="str">
        <x:v>事项</x:v>
      </x:c>
      <x:c r="C1" s="131" t="str">
        <x:v>依据</x:v>
      </x:c>
      <x:c r="D1" s="131" t="str">
        <x:v>预算/应付金额</x:v>
      </x:c>
      <x:c r="E1" s="131" t="str">
        <x:v>实际支付日期</x:v>
      </x:c>
      <x:c r="F1" s="131" t="str">
        <x:v>状态</x:v>
      </x:c>
      <x:c r="G1" s="131" t="str">
        <x:v>说明</x:v>
      </x:c>
      <x:c r="H1" s="132" t="str">
        <x:v>凭证链接</x:v>
      </x:c>
    </x:row>
    <x:row r="2">
      <x:c r="A2" s="107" t="str">
        <x:v>PAY-001</x:v>
      </x:c>
      <x:c r="B2" s="108" t="str">
        <x:v>预算总价</x:v>
      </x:c>
      <x:c r="C2" s="108" t="str">
        <x:v>预算汇总</x:v>
      </x:c>
      <x:c r="D2" s="109" t="n">
        <x:v>213457</x:v>
      </x:c>
      <x:c r="E2" s="133" t="str"/>
      <x:c r="F2" s="108" t="str">
        <x:v>待确认</x:v>
      </x:c>
      <x:c r="G2" s="108" t="str">
        <x:v>总价是否含税、发票税率和付款节点需从合同主体确认</x:v>
      </x:c>
      <x:c r="H2" s="110" t="str"/>
    </x:row>
    <x:row r="3">
      <x:c r="A3" s="107" t="str">
        <x:v>PAY-002</x:v>
      </x:c>
      <x:c r="B3" s="108" t="str">
        <x:v>防水相关</x:v>
      </x:c>
      <x:c r="C3" s="108" t="str">
        <x:v>卫生间/阳台/防水坝</x:v>
      </x:c>
      <x:c r="D3" s="109" t="n">
        <x:v>1372.6</x:v>
      </x:c>
      <x:c r="E3" s="133" t="str"/>
      <x:c r="F3" s="108" t="str">
        <x:v>待确认</x:v>
      </x:c>
      <x:c r="G3" s="108" t="str">
        <x:v>厨房无防水；卫生间干区和节点加强需确认</x:v>
      </x:c>
      <x:c r="H3" s="110" t="str"/>
    </x:row>
    <x:row r="4">
      <x:c r="A4" s="111" t="str">
        <x:v>PAY-003</x:v>
      </x:c>
      <x:c r="B4" s="113" t="str">
        <x:v>主材占位</x:v>
      </x:c>
      <x:c r="C4" s="113" t="str">
        <x:v>主材清单</x:v>
      </x:c>
      <x:c r="D4" s="112" t="n">
        <x:v>56581.2</x:v>
      </x:c>
      <x:c r="E4" s="134" t="str"/>
      <x:c r="F4" s="113" t="str">
        <x:v>待确认</x:v>
      </x:c>
      <x:c r="G4" s="113" t="str">
        <x:v>按实际选择结算，需锁预算内可选范围</x:v>
      </x:c>
      <x:c r="H4" s="114" t="str"/>
    </x:row>
    <x:row r="5">
      <x:c r="A5" s="93"/>
      <x:c r="B5" s="93"/>
      <x:c r="C5" s="93"/>
      <x:c r="D5" s="137"/>
      <x:c r="E5" s="138"/>
      <x:c r="F5" s="93"/>
      <x:c r="G5" s="93"/>
      <x:c r="H5" s="93"/>
    </x:row>
    <x:row r="6">
      <x:c r="A6" s="93"/>
      <x:c r="B6" s="93"/>
      <x:c r="C6" s="93"/>
      <x:c r="D6" s="137"/>
      <x:c r="E6" s="138"/>
      <x:c r="F6" s="93"/>
      <x:c r="G6" s="93"/>
      <x:c r="H6" s="93"/>
    </x:row>
    <x:row r="7">
      <x:c r="A7" s="93"/>
      <x:c r="B7" s="93"/>
      <x:c r="C7" s="93"/>
      <x:c r="D7" s="137"/>
      <x:c r="E7" s="138"/>
      <x:c r="F7" s="93"/>
      <x:c r="G7" s="93"/>
      <x:c r="H7" s="93"/>
    </x:row>
    <x:row r="8">
      <x:c r="A8" s="93"/>
      <x:c r="B8" s="93"/>
      <x:c r="C8" s="93"/>
      <x:c r="D8" s="137"/>
      <x:c r="E8" s="138"/>
      <x:c r="F8" s="93"/>
      <x:c r="G8" s="93"/>
      <x:c r="H8" s="93"/>
    </x:row>
    <x:row r="9">
      <x:c r="A9" s="93"/>
      <x:c r="B9" s="93"/>
      <x:c r="C9" s="93"/>
      <x:c r="D9" s="137"/>
      <x:c r="E9" s="138"/>
      <x:c r="F9" s="93"/>
      <x:c r="G9" s="93"/>
      <x:c r="H9" s="93"/>
    </x:row>
    <x:row r="10">
      <x:c r="A10" s="93"/>
      <x:c r="B10" s="93"/>
      <x:c r="C10" s="93"/>
      <x:c r="D10" s="137"/>
      <x:c r="E10" s="138"/>
      <x:c r="F10" s="93"/>
      <x:c r="G10" s="93"/>
      <x:c r="H10" s="93"/>
    </x:row>
    <x:row r="11">
      <x:c r="A11" s="93"/>
      <x:c r="B11" s="93"/>
      <x:c r="C11" s="93"/>
      <x:c r="D11" s="137"/>
      <x:c r="E11" s="138"/>
      <x:c r="F11" s="93"/>
      <x:c r="G11" s="93"/>
      <x:c r="H11" s="93"/>
    </x:row>
    <x:row r="12">
      <x:c r="A12" s="93"/>
      <x:c r="B12" s="93"/>
      <x:c r="C12" s="93"/>
      <x:c r="D12" s="137"/>
      <x:c r="E12" s="138"/>
      <x:c r="F12" s="93"/>
      <x:c r="G12" s="93"/>
      <x:c r="H12" s="93"/>
    </x:row>
    <x:row r="13">
      <x:c r="A13" s="93"/>
      <x:c r="B13" s="93"/>
      <x:c r="C13" s="93"/>
      <x:c r="D13" s="137"/>
      <x:c r="E13" s="138"/>
      <x:c r="F13" s="93"/>
      <x:c r="G13" s="93"/>
      <x:c r="H13" s="93"/>
    </x:row>
    <x:row r="14">
      <x:c r="A14" s="93"/>
      <x:c r="B14" s="93"/>
      <x:c r="C14" s="93"/>
      <x:c r="D14" s="137"/>
      <x:c r="E14" s="138"/>
      <x:c r="F14" s="93"/>
      <x:c r="G14" s="93"/>
      <x:c r="H14" s="93"/>
    </x:row>
    <x:row r="15">
      <x:c r="A15" s="93"/>
      <x:c r="B15" s="93"/>
      <x:c r="C15" s="93"/>
      <x:c r="D15" s="137"/>
      <x:c r="E15" s="138"/>
      <x:c r="F15" s="93"/>
      <x:c r="G15" s="93"/>
      <x:c r="H15" s="93"/>
    </x:row>
    <x:row r="16">
      <x:c r="A16" s="93"/>
      <x:c r="B16" s="93"/>
      <x:c r="C16" s="93"/>
      <x:c r="D16" s="137"/>
      <x:c r="E16" s="138"/>
      <x:c r="F16" s="93"/>
      <x:c r="G16" s="93"/>
      <x:c r="H16" s="93"/>
    </x:row>
    <x:row r="17">
      <x:c r="A17" s="93"/>
      <x:c r="B17" s="93"/>
      <x:c r="C17" s="93"/>
      <x:c r="D17" s="137"/>
      <x:c r="E17" s="138"/>
      <x:c r="F17" s="93"/>
      <x:c r="G17" s="93"/>
      <x:c r="H17" s="93"/>
    </x:row>
    <x:row r="18">
      <x:c r="A18" s="93"/>
      <x:c r="B18" s="93"/>
      <x:c r="C18" s="93"/>
      <x:c r="D18" s="137"/>
      <x:c r="E18" s="138"/>
      <x:c r="F18" s="93"/>
      <x:c r="G18" s="93"/>
      <x:c r="H18" s="93"/>
    </x:row>
    <x:row r="19">
      <x:c r="A19" s="93"/>
      <x:c r="B19" s="93"/>
      <x:c r="C19" s="93"/>
      <x:c r="D19" s="137"/>
      <x:c r="E19" s="138"/>
      <x:c r="F19" s="93"/>
      <x:c r="G19" s="93"/>
      <x:c r="H19" s="93"/>
    </x:row>
    <x:row r="20">
      <x:c r="A20" s="93"/>
      <x:c r="B20" s="93"/>
      <x:c r="C20" s="93"/>
      <x:c r="D20" s="137"/>
      <x:c r="E20" s="138"/>
      <x:c r="F20" s="93"/>
      <x:c r="G20" s="93"/>
      <x:c r="H20" s="93"/>
    </x:row>
    <x:row r="21">
      <x:c r="A21" s="93"/>
      <x:c r="B21" s="93"/>
      <x:c r="C21" s="93"/>
      <x:c r="D21" s="137"/>
      <x:c r="E21" s="138"/>
      <x:c r="F21" s="93"/>
      <x:c r="G21" s="93"/>
      <x:c r="H21" s="93"/>
    </x:row>
    <x:row r="22">
      <x:c r="A22" s="93"/>
      <x:c r="B22" s="93"/>
      <x:c r="C22" s="93"/>
      <x:c r="D22" s="137"/>
      <x:c r="E22" s="138"/>
      <x:c r="F22" s="93"/>
      <x:c r="G22" s="93"/>
      <x:c r="H22" s="93"/>
    </x:row>
    <x:row r="23">
      <x:c r="A23" s="93"/>
      <x:c r="B23" s="93"/>
      <x:c r="C23" s="93"/>
      <x:c r="D23" s="137"/>
      <x:c r="E23" s="138"/>
      <x:c r="F23" s="93"/>
      <x:c r="G23" s="93"/>
      <x:c r="H23" s="93"/>
    </x:row>
    <x:row r="24">
      <x:c r="A24" s="93"/>
      <x:c r="B24" s="93"/>
      <x:c r="C24" s="93"/>
      <x:c r="D24" s="137"/>
      <x:c r="E24" s="138"/>
      <x:c r="F24" s="93"/>
      <x:c r="G24" s="93"/>
      <x:c r="H24" s="93"/>
    </x:row>
    <x:row r="25">
      <x:c r="A25" s="93"/>
      <x:c r="B25" s="93"/>
      <x:c r="C25" s="93"/>
      <x:c r="D25" s="137"/>
      <x:c r="E25" s="138"/>
      <x:c r="F25" s="93"/>
      <x:c r="G25" s="93"/>
      <x:c r="H25" s="93"/>
    </x:row>
    <x:row r="26">
      <x:c r="A26" s="93"/>
      <x:c r="B26" s="93"/>
      <x:c r="C26" s="93"/>
      <x:c r="D26" s="137"/>
      <x:c r="E26" s="138"/>
      <x:c r="F26" s="93"/>
      <x:c r="G26" s="93"/>
      <x:c r="H26" s="93"/>
    </x:row>
    <x:row r="27">
      <x:c r="A27" s="93"/>
      <x:c r="B27" s="93"/>
      <x:c r="C27" s="93"/>
      <x:c r="D27" s="137"/>
      <x:c r="E27" s="138"/>
      <x:c r="F27" s="93"/>
      <x:c r="G27" s="93"/>
      <x:c r="H27" s="93"/>
    </x:row>
    <x:row r="28">
      <x:c r="A28" s="93"/>
      <x:c r="B28" s="93"/>
      <x:c r="C28" s="93"/>
      <x:c r="D28" s="137"/>
      <x:c r="E28" s="138"/>
      <x:c r="F28" s="93"/>
      <x:c r="G28" s="93"/>
      <x:c r="H28" s="93"/>
    </x:row>
    <x:row r="29">
      <x:c r="A29" s="93"/>
      <x:c r="B29" s="93"/>
      <x:c r="C29" s="93"/>
      <x:c r="D29" s="137"/>
      <x:c r="E29" s="138"/>
      <x:c r="F29" s="93"/>
      <x:c r="G29" s="93"/>
      <x:c r="H29" s="93"/>
    </x:row>
    <x:row r="30">
      <x:c r="A30" s="93"/>
      <x:c r="B30" s="93"/>
      <x:c r="C30" s="93"/>
      <x:c r="D30" s="137"/>
      <x:c r="E30" s="138"/>
      <x:c r="F30" s="93"/>
      <x:c r="G30" s="93"/>
      <x:c r="H30" s="93"/>
    </x:row>
    <x:row r="31">
      <x:c r="A31" s="93"/>
      <x:c r="B31" s="93"/>
      <x:c r="C31" s="93"/>
      <x:c r="D31" s="137"/>
      <x:c r="E31" s="138"/>
      <x:c r="F31" s="93"/>
      <x:c r="G31" s="93"/>
      <x:c r="H31" s="93"/>
    </x:row>
    <x:row r="32">
      <x:c r="A32" s="93"/>
      <x:c r="B32" s="93"/>
      <x:c r="C32" s="93"/>
      <x:c r="D32" s="137"/>
      <x:c r="E32" s="138"/>
      <x:c r="F32" s="93"/>
      <x:c r="G32" s="93"/>
      <x:c r="H32" s="93"/>
    </x:row>
    <x:row r="33">
      <x:c r="A33" s="93"/>
      <x:c r="B33" s="93"/>
      <x:c r="C33" s="93"/>
      <x:c r="D33" s="137"/>
      <x:c r="E33" s="138"/>
      <x:c r="F33" s="93"/>
      <x:c r="G33" s="93"/>
      <x:c r="H33" s="93"/>
    </x:row>
    <x:row r="34">
      <x:c r="A34" s="93"/>
      <x:c r="B34" s="93"/>
      <x:c r="C34" s="93"/>
      <x:c r="D34" s="137"/>
      <x:c r="E34" s="138"/>
      <x:c r="F34" s="93"/>
      <x:c r="G34" s="93"/>
      <x:c r="H34" s="93"/>
    </x:row>
    <x:row r="35">
      <x:c r="A35" s="93"/>
      <x:c r="B35" s="93"/>
      <x:c r="C35" s="93"/>
      <x:c r="D35" s="137"/>
      <x:c r="E35" s="138"/>
      <x:c r="F35" s="93"/>
      <x:c r="G35" s="93"/>
      <x:c r="H35" s="93"/>
    </x:row>
    <x:row r="36">
      <x:c r="A36" s="93"/>
      <x:c r="B36" s="93"/>
      <x:c r="C36" s="93"/>
      <x:c r="D36" s="137"/>
      <x:c r="E36" s="138"/>
      <x:c r="F36" s="93"/>
      <x:c r="G36" s="93"/>
      <x:c r="H36" s="93"/>
    </x:row>
    <x:row r="37">
      <x:c r="A37" s="93"/>
      <x:c r="B37" s="93"/>
      <x:c r="C37" s="93"/>
      <x:c r="D37" s="137"/>
      <x:c r="E37" s="138"/>
      <x:c r="F37" s="93"/>
      <x:c r="G37" s="93"/>
      <x:c r="H37" s="93"/>
    </x:row>
    <x:row r="38">
      <x:c r="A38" s="93"/>
      <x:c r="B38" s="93"/>
      <x:c r="C38" s="93"/>
      <x:c r="D38" s="137"/>
      <x:c r="E38" s="138"/>
      <x:c r="F38" s="93"/>
      <x:c r="G38" s="93"/>
      <x:c r="H38" s="93"/>
    </x:row>
    <x:row r="39">
      <x:c r="A39" s="93"/>
      <x:c r="B39" s="93"/>
      <x:c r="C39" s="93"/>
      <x:c r="D39" s="137"/>
      <x:c r="E39" s="138"/>
      <x:c r="F39" s="93"/>
      <x:c r="G39" s="93"/>
      <x:c r="H39" s="93"/>
    </x:row>
    <x:row r="40">
      <x:c r="A40" s="93"/>
      <x:c r="B40" s="93"/>
      <x:c r="C40" s="93"/>
      <x:c r="D40" s="137"/>
      <x:c r="E40" s="138"/>
      <x:c r="F40" s="93"/>
      <x:c r="G40" s="93"/>
      <x:c r="H40" s="93"/>
    </x:row>
    <x:row r="41">
      <x:c r="A41" s="93"/>
      <x:c r="B41" s="93"/>
      <x:c r="C41" s="93"/>
      <x:c r="D41" s="137"/>
      <x:c r="E41" s="138"/>
      <x:c r="F41" s="93"/>
      <x:c r="G41" s="93"/>
      <x:c r="H41" s="93"/>
    </x:row>
    <x:row r="42">
      <x:c r="A42" s="93"/>
      <x:c r="B42" s="93"/>
      <x:c r="C42" s="93"/>
      <x:c r="D42" s="137"/>
      <x:c r="E42" s="138"/>
      <x:c r="F42" s="93"/>
      <x:c r="G42" s="93"/>
      <x:c r="H42" s="93"/>
    </x:row>
    <x:row r="43">
      <x:c r="A43" s="93"/>
      <x:c r="B43" s="93"/>
      <x:c r="C43" s="93"/>
      <x:c r="D43" s="137"/>
      <x:c r="E43" s="138"/>
      <x:c r="F43" s="93"/>
      <x:c r="G43" s="93"/>
      <x:c r="H43" s="93"/>
    </x:row>
    <x:row r="44">
      <x:c r="A44" s="93"/>
      <x:c r="B44" s="93"/>
      <x:c r="C44" s="93"/>
      <x:c r="D44" s="137"/>
      <x:c r="E44" s="138"/>
      <x:c r="F44" s="93"/>
      <x:c r="G44" s="93"/>
      <x:c r="H44" s="93"/>
    </x:row>
    <x:row r="45">
      <x:c r="A45" s="93"/>
      <x:c r="B45" s="93"/>
      <x:c r="C45" s="93"/>
      <x:c r="D45" s="137"/>
      <x:c r="E45" s="138"/>
      <x:c r="F45" s="93"/>
      <x:c r="G45" s="93"/>
      <x:c r="H45" s="93"/>
    </x:row>
    <x:row r="46">
      <x:c r="A46" s="93"/>
      <x:c r="B46" s="93"/>
      <x:c r="C46" s="93"/>
      <x:c r="D46" s="137"/>
      <x:c r="E46" s="138"/>
      <x:c r="F46" s="93"/>
      <x:c r="G46" s="93"/>
      <x:c r="H46" s="93"/>
    </x:row>
    <x:row r="47">
      <x:c r="A47" s="93"/>
      <x:c r="B47" s="93"/>
      <x:c r="C47" s="93"/>
      <x:c r="D47" s="137"/>
      <x:c r="E47" s="138"/>
      <x:c r="F47" s="93"/>
      <x:c r="G47" s="93"/>
      <x:c r="H47" s="93"/>
    </x:row>
    <x:row r="48">
      <x:c r="A48" s="93"/>
      <x:c r="B48" s="93"/>
      <x:c r="C48" s="93"/>
      <x:c r="D48" s="137"/>
      <x:c r="E48" s="138"/>
      <x:c r="F48" s="93"/>
      <x:c r="G48" s="93"/>
      <x:c r="H48" s="93"/>
    </x:row>
    <x:row r="49">
      <x:c r="A49" s="93"/>
      <x:c r="B49" s="93"/>
      <x:c r="C49" s="93"/>
      <x:c r="D49" s="137"/>
      <x:c r="E49" s="138"/>
      <x:c r="F49" s="93"/>
      <x:c r="G49" s="93"/>
      <x:c r="H49" s="93"/>
    </x:row>
    <x:row r="50">
      <x:c r="A50" s="93"/>
      <x:c r="B50" s="93"/>
      <x:c r="C50" s="93"/>
      <x:c r="D50" s="137"/>
      <x:c r="E50" s="138"/>
      <x:c r="F50" s="93"/>
      <x:c r="G50" s="93"/>
      <x:c r="H50" s="93"/>
    </x:row>
    <x:row r="51">
      <x:c r="A51" s="93"/>
      <x:c r="B51" s="93"/>
      <x:c r="C51" s="93"/>
      <x:c r="D51" s="137"/>
      <x:c r="E51" s="138"/>
      <x:c r="F51" s="93"/>
      <x:c r="G51" s="93"/>
      <x:c r="H51" s="93"/>
    </x:row>
    <x:row r="52">
      <x:c r="A52" s="93"/>
      <x:c r="B52" s="93"/>
      <x:c r="C52" s="93"/>
      <x:c r="D52" s="137"/>
      <x:c r="E52" s="138"/>
      <x:c r="F52" s="93"/>
      <x:c r="G52" s="93"/>
      <x:c r="H52" s="93"/>
    </x:row>
    <x:row r="53">
      <x:c r="A53" s="93"/>
      <x:c r="B53" s="93"/>
      <x:c r="C53" s="93"/>
      <x:c r="D53" s="137"/>
      <x:c r="E53" s="138"/>
      <x:c r="F53" s="93"/>
      <x:c r="G53" s="93"/>
      <x:c r="H53" s="93"/>
    </x:row>
    <x:row r="54">
      <x:c r="A54" s="93"/>
      <x:c r="B54" s="93"/>
      <x:c r="C54" s="93"/>
      <x:c r="D54" s="137"/>
      <x:c r="E54" s="138"/>
      <x:c r="F54" s="93"/>
      <x:c r="G54" s="93"/>
      <x:c r="H54" s="93"/>
    </x:row>
    <x:row r="55">
      <x:c r="A55" s="93"/>
      <x:c r="B55" s="93"/>
      <x:c r="C55" s="93"/>
      <x:c r="D55" s="137"/>
      <x:c r="E55" s="138"/>
      <x:c r="F55" s="93"/>
      <x:c r="G55" s="93"/>
      <x:c r="H55" s="93"/>
    </x:row>
    <x:row r="56">
      <x:c r="A56" s="93"/>
      <x:c r="B56" s="93"/>
      <x:c r="C56" s="93"/>
      <x:c r="D56" s="137"/>
      <x:c r="E56" s="138"/>
      <x:c r="F56" s="93"/>
      <x:c r="G56" s="93"/>
      <x:c r="H56" s="93"/>
    </x:row>
    <x:row r="57">
      <x:c r="A57" s="93"/>
      <x:c r="B57" s="93"/>
      <x:c r="C57" s="93"/>
      <x:c r="D57" s="137"/>
      <x:c r="E57" s="138"/>
      <x:c r="F57" s="93"/>
      <x:c r="G57" s="93"/>
      <x:c r="H57" s="93"/>
    </x:row>
    <x:row r="58">
      <x:c r="A58" s="93"/>
      <x:c r="B58" s="93"/>
      <x:c r="C58" s="93"/>
      <x:c r="D58" s="137"/>
      <x:c r="E58" s="138"/>
      <x:c r="F58" s="93"/>
      <x:c r="G58" s="93"/>
      <x:c r="H58" s="93"/>
    </x:row>
    <x:row r="59">
      <x:c r="A59" s="93"/>
      <x:c r="B59" s="93"/>
      <x:c r="C59" s="93"/>
      <x:c r="D59" s="137"/>
      <x:c r="E59" s="138"/>
      <x:c r="F59" s="93"/>
      <x:c r="G59" s="93"/>
      <x:c r="H59" s="93"/>
    </x:row>
    <x:row r="60">
      <x:c r="A60" s="93"/>
      <x:c r="B60" s="93"/>
      <x:c r="C60" s="93"/>
      <x:c r="D60" s="137"/>
      <x:c r="E60" s="138"/>
      <x:c r="F60" s="93"/>
      <x:c r="G60" s="93"/>
      <x:c r="H60" s="93"/>
    </x:row>
  </x:sheetData>
  <x:conditionalFormatting sqref="F2:F60">
    <x:cfRule type="containsText" dxfId="23" priority="1" operator="containsText" text="待追问"/>
    <x:cfRule type="containsText" dxfId="24" priority="2" operator="containsText" text="待确认"/>
    <x:cfRule type="containsText" dxfId="25" priority="3" operator="containsText" text="有争议"/>
    <x:cfRule type="containsText" dxfId="26" priority="4" operator="containsText" text="已关闭"/>
    <x:cfRule type="containsText" dxfId="27" priority="5" operator="containsText" text="施工中"/>
  </x:conditionalFormatting>
  <x:dataValidations count="1">
    <x:dataValidation type="list" showInputMessage="1" promptTitle="可选值" prompt="待确认 / 待支付 / 已支付 / 待验收 / 已验收 / 有争议" sqref="F2:F60">
      <x:formula1>"待确认,待支付,已支付,待验收,已验收,有争议"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d50b5ad35e4b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2.220000267028809" hidden="0" customWidth="1"/>
    <x:col min="3" max="3" width="17.780000686645508" hidden="0" customWidth="1"/>
    <x:col min="4" max="4" width="17.780000686645508" hidden="0" customWidth="1"/>
    <x:col min="5" max="5" width="28.889999389648438" hidden="0" customWidth="1"/>
    <x:col min="6" max="6" width="24.440000534057617" hidden="0" customWidth="1"/>
  </x:cols>
  <x:sheetData>
    <x:row r="1">
      <x:c r="A1" s="130" t="str">
        <x:v>角色</x:v>
      </x:c>
      <x:c r="B1" s="131" t="str">
        <x:v>姓名</x:v>
      </x:c>
      <x:c r="C1" s="131" t="str">
        <x:v>电话/微信</x:v>
      </x:c>
      <x:c r="D1" s="131" t="str">
        <x:v>公司</x:v>
      </x:c>
      <x:c r="E1" s="131" t="str">
        <x:v>职责</x:v>
      </x:c>
      <x:c r="F1" s="132" t="str">
        <x:v>备注</x:v>
      </x:c>
    </x:row>
    <x:row r="2">
      <x:c r="A2" s="107" t="str">
        <x:v>装修公司/预算员</x:v>
      </x:c>
      <x:c r="B2" s="108" t="str"/>
      <x:c r="C2" s="108" t="str"/>
      <x:c r="D2" s="108" t="str"/>
      <x:c r="E2" s="108" t="str">
        <x:v>预算解释、增减项报价</x:v>
      </x:c>
      <x:c r="F2" s="110" t="str"/>
    </x:row>
    <x:row r="3">
      <x:c r="A3" s="107" t="str">
        <x:v>设计师</x:v>
      </x:c>
      <x:c r="B3" s="108" t="str"/>
      <x:c r="C3" s="108" t="str"/>
      <x:c r="D3" s="108" t="str"/>
      <x:c r="E3" s="108" t="str">
        <x:v>选材、图纸、风格把控</x:v>
      </x:c>
      <x:c r="F3" s="110" t="str"/>
    </x:row>
    <x:row r="4">
      <x:c r="A4" s="107" t="str">
        <x:v>项目经理</x:v>
      </x:c>
      <x:c r="B4" s="108" t="str"/>
      <x:c r="C4" s="108" t="str"/>
      <x:c r="D4" s="108" t="str"/>
      <x:c r="E4" s="108" t="str">
        <x:v>现场施工、进度、验收</x:v>
      </x:c>
      <x:c r="F4" s="110" t="str"/>
    </x:row>
    <x:row r="5">
      <x:c r="A5" s="107" t="str">
        <x:v>空调厂家</x:v>
      </x:c>
      <x:c r="B5" s="108" t="str"/>
      <x:c r="C5" s="108" t="str"/>
      <x:c r="D5" s="108" t="str"/>
      <x:c r="E5" s="108" t="str">
        <x:v>空调面板、控制板安装、设备安装</x:v>
      </x:c>
      <x:c r="F5" s="110" t="str"/>
    </x:row>
    <x:row r="6">
      <x:c r="A6" s="111" t="str">
        <x:v>业主</x:v>
      </x:c>
      <x:c r="B6" s="113" t="str"/>
      <x:c r="C6" s="113" t="str"/>
      <x:c r="D6" s="113" t="str"/>
      <x:c r="E6" s="113" t="str">
        <x:v>确认、签字、付款、验收</x:v>
      </x:c>
      <x:c r="F6" s="114" t="str"/>
    </x:row>
  </x:sheetData>
  <x:pageMargins left="0.7" right="0.7" top="0.75" bottom="0.75" header="0.3" footer="0.3"/>
  <x:tableParts count="1">
    <x:tablePart xmlns:r="http://schemas.openxmlformats.org/officeDocument/2006/relationships" r:id="Rfb03df528da74a40"/>
  </x:tableParts>
</x:worksheet>
</file>